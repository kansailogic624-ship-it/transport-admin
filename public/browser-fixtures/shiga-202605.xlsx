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sas\カンロジ Dropbox\カンロジ チーム フォルダ\3.飼鳥BOX\ｼﾞｮｰｼﾝ\滋賀店配データ入力sheet\2026年\"/>
    </mc:Choice>
  </mc:AlternateContent>
  <xr:revisionPtr revIDLastSave="0" documentId="13_ncr:1_{854257FB-7AC0-4E19-B748-A43843628C1F}" xr6:coauthVersionLast="47" xr6:coauthVersionMax="47" xr10:uidLastSave="{00000000-0000-0000-0000-000000000000}"/>
  <bookViews>
    <workbookView xWindow="-108" yWindow="-108" windowWidth="23256" windowHeight="12456" xr2:uid="{A98FB1F0-5BDC-4CB6-BB95-47A1668A6768}"/>
  </bookViews>
  <sheets>
    <sheet name="滋賀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4" i="1" l="1"/>
  <c r="AF24" i="1"/>
  <c r="AB24" i="1"/>
  <c r="AD24" i="1" s="1"/>
  <c r="AA24" i="1"/>
  <c r="Y24" i="1"/>
  <c r="T24" i="1"/>
  <c r="R24" i="1"/>
  <c r="U24" i="1" s="1"/>
  <c r="W24" i="1" s="1"/>
  <c r="M24" i="1"/>
  <c r="N24" i="1" s="1"/>
  <c r="P24" i="1" s="1"/>
  <c r="K24" i="1"/>
  <c r="G24" i="1"/>
  <c r="I24" i="1" s="1"/>
  <c r="F24" i="1"/>
  <c r="D24" i="1"/>
  <c r="AE24" i="1" s="1"/>
  <c r="W15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5" i="1"/>
  <c r="Y26" i="1"/>
  <c r="Y27" i="1"/>
  <c r="Y29" i="1"/>
  <c r="Y30" i="1"/>
  <c r="Y31" i="1"/>
  <c r="Y32" i="1"/>
  <c r="Y33" i="1"/>
  <c r="Y34" i="1"/>
  <c r="Y36" i="1"/>
  <c r="Y37" i="1"/>
  <c r="A7" i="1"/>
  <c r="AH24" i="1" l="1"/>
  <c r="AG7" i="1"/>
  <c r="A8" i="1"/>
  <c r="T7" i="1"/>
  <c r="AC38" i="1"/>
  <c r="Z38" i="1"/>
  <c r="X38" i="1"/>
  <c r="V38" i="1"/>
  <c r="S38" i="1"/>
  <c r="Q38" i="1"/>
  <c r="O38" i="1"/>
  <c r="L38" i="1"/>
  <c r="J38" i="1"/>
  <c r="H38" i="1"/>
  <c r="E38" i="1"/>
  <c r="C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9" i="1" l="1"/>
  <c r="AG8" i="1"/>
  <c r="F7" i="1"/>
  <c r="R7" i="1"/>
  <c r="D7" i="1"/>
  <c r="M7" i="1"/>
  <c r="K7" i="1"/>
  <c r="AF38" i="1"/>
  <c r="AA7" i="1"/>
  <c r="AB7" i="1" s="1"/>
  <c r="B7" i="1"/>
  <c r="D9" i="1" l="1"/>
  <c r="A10" i="1"/>
  <c r="AG9" i="1"/>
  <c r="U7" i="1"/>
  <c r="W7" i="1" s="1"/>
  <c r="D8" i="1"/>
  <c r="T8" i="1"/>
  <c r="G7" i="1"/>
  <c r="I7" i="1" s="1"/>
  <c r="R8" i="1"/>
  <c r="F8" i="1"/>
  <c r="M8" i="1"/>
  <c r="K8" i="1"/>
  <c r="N7" i="1"/>
  <c r="P7" i="1" s="1"/>
  <c r="AE7" i="1"/>
  <c r="AD7" i="1"/>
  <c r="AA8" i="1"/>
  <c r="B8" i="1"/>
  <c r="D10" i="1" l="1"/>
  <c r="A11" i="1"/>
  <c r="AG10" i="1"/>
  <c r="AA9" i="1"/>
  <c r="M9" i="1"/>
  <c r="T9" i="1"/>
  <c r="K9" i="1"/>
  <c r="R9" i="1"/>
  <c r="F9" i="1"/>
  <c r="AE8" i="1"/>
  <c r="AH8" i="1" s="1"/>
  <c r="G8" i="1"/>
  <c r="I8" i="1" s="1"/>
  <c r="U8" i="1"/>
  <c r="W8" i="1" s="1"/>
  <c r="AH7" i="1"/>
  <c r="N8" i="1"/>
  <c r="P8" i="1" s="1"/>
  <c r="AB8" i="1"/>
  <c r="AD8" i="1" s="1"/>
  <c r="B9" i="1"/>
  <c r="R11" i="1" l="1"/>
  <c r="A12" i="1"/>
  <c r="AG11" i="1"/>
  <c r="AB9" i="1"/>
  <c r="AD9" i="1" s="1"/>
  <c r="AA10" i="1"/>
  <c r="F10" i="1"/>
  <c r="R10" i="1"/>
  <c r="T10" i="1"/>
  <c r="M10" i="1"/>
  <c r="K10" i="1"/>
  <c r="N9" i="1"/>
  <c r="P9" i="1" s="1"/>
  <c r="U9" i="1"/>
  <c r="W9" i="1" s="1"/>
  <c r="G9" i="1"/>
  <c r="I9" i="1" s="1"/>
  <c r="AE9" i="1"/>
  <c r="AH9" i="1" s="1"/>
  <c r="B10" i="1"/>
  <c r="A13" i="1" l="1"/>
  <c r="AG12" i="1"/>
  <c r="AB10" i="1"/>
  <c r="AD10" i="1" s="1"/>
  <c r="AA11" i="1"/>
  <c r="N10" i="1"/>
  <c r="P10" i="1" s="1"/>
  <c r="G10" i="1"/>
  <c r="I10" i="1" s="1"/>
  <c r="U10" i="1"/>
  <c r="W10" i="1" s="1"/>
  <c r="D11" i="1"/>
  <c r="T11" i="1"/>
  <c r="M11" i="1"/>
  <c r="K11" i="1"/>
  <c r="F11" i="1"/>
  <c r="AE10" i="1"/>
  <c r="AH10" i="1" s="1"/>
  <c r="B11" i="1"/>
  <c r="A14" i="1" l="1"/>
  <c r="AG13" i="1"/>
  <c r="AB11" i="1"/>
  <c r="AD11" i="1" s="1"/>
  <c r="AA12" i="1"/>
  <c r="U11" i="1"/>
  <c r="W11" i="1" s="1"/>
  <c r="G11" i="1"/>
  <c r="I11" i="1" s="1"/>
  <c r="N11" i="1"/>
  <c r="P11" i="1" s="1"/>
  <c r="R12" i="1"/>
  <c r="M12" i="1"/>
  <c r="D12" i="1"/>
  <c r="T12" i="1"/>
  <c r="K12" i="1"/>
  <c r="F12" i="1"/>
  <c r="AE11" i="1"/>
  <c r="AH11" i="1" s="1"/>
  <c r="B12" i="1"/>
  <c r="AB12" i="1" l="1"/>
  <c r="AD12" i="1" s="1"/>
  <c r="A15" i="1"/>
  <c r="AG14" i="1"/>
  <c r="AA13" i="1"/>
  <c r="AE12" i="1"/>
  <c r="AH12" i="1" s="1"/>
  <c r="U12" i="1"/>
  <c r="W12" i="1" s="1"/>
  <c r="T13" i="1"/>
  <c r="K13" i="1"/>
  <c r="R13" i="1"/>
  <c r="F13" i="1"/>
  <c r="M13" i="1"/>
  <c r="D13" i="1"/>
  <c r="N12" i="1"/>
  <c r="P12" i="1" s="1"/>
  <c r="G12" i="1"/>
  <c r="I12" i="1" s="1"/>
  <c r="B13" i="1"/>
  <c r="A16" i="1" l="1"/>
  <c r="AG15" i="1"/>
  <c r="AA14" i="1"/>
  <c r="G13" i="1"/>
  <c r="I13" i="1" s="1"/>
  <c r="U13" i="1"/>
  <c r="W13" i="1" s="1"/>
  <c r="T14" i="1"/>
  <c r="K14" i="1"/>
  <c r="R14" i="1"/>
  <c r="F14" i="1"/>
  <c r="M14" i="1"/>
  <c r="D14" i="1"/>
  <c r="N13" i="1"/>
  <c r="P13" i="1" s="1"/>
  <c r="AE13" i="1"/>
  <c r="AB13" i="1"/>
  <c r="AD13" i="1" s="1"/>
  <c r="B14" i="1"/>
  <c r="A17" i="1" l="1"/>
  <c r="AG16" i="1"/>
  <c r="G14" i="1"/>
  <c r="I14" i="1" s="1"/>
  <c r="U14" i="1"/>
  <c r="W14" i="1" s="1"/>
  <c r="N14" i="1"/>
  <c r="P14" i="1" s="1"/>
  <c r="R15" i="1"/>
  <c r="K15" i="1"/>
  <c r="D15" i="1"/>
  <c r="AA15" i="1"/>
  <c r="T15" i="1"/>
  <c r="M15" i="1"/>
  <c r="F15" i="1"/>
  <c r="B15" i="1"/>
  <c r="AE14" i="1"/>
  <c r="AH14" i="1" s="1"/>
  <c r="AB14" i="1"/>
  <c r="AD14" i="1" s="1"/>
  <c r="AH13" i="1"/>
  <c r="T17" i="1" l="1"/>
  <c r="R17" i="1"/>
  <c r="M17" i="1"/>
  <c r="K17" i="1"/>
  <c r="D17" i="1"/>
  <c r="F17" i="1"/>
  <c r="A18" i="1"/>
  <c r="AG17" i="1"/>
  <c r="D16" i="1"/>
  <c r="AE15" i="1"/>
  <c r="G15" i="1"/>
  <c r="I15" i="1" s="1"/>
  <c r="U15" i="1"/>
  <c r="N15" i="1"/>
  <c r="P15" i="1" s="1"/>
  <c r="AB15" i="1"/>
  <c r="AD15" i="1" s="1"/>
  <c r="R16" i="1"/>
  <c r="K16" i="1"/>
  <c r="AA16" i="1"/>
  <c r="T16" i="1"/>
  <c r="M16" i="1"/>
  <c r="F16" i="1"/>
  <c r="B16" i="1"/>
  <c r="U17" i="1" l="1"/>
  <c r="W17" i="1" s="1"/>
  <c r="G17" i="1"/>
  <c r="I17" i="1" s="1"/>
  <c r="N17" i="1"/>
  <c r="P17" i="1" s="1"/>
  <c r="T18" i="1"/>
  <c r="R18" i="1"/>
  <c r="M18" i="1"/>
  <c r="K18" i="1"/>
  <c r="F18" i="1"/>
  <c r="D18" i="1"/>
  <c r="A19" i="1"/>
  <c r="AG18" i="1"/>
  <c r="AB16" i="1"/>
  <c r="AD16" i="1" s="1"/>
  <c r="N16" i="1"/>
  <c r="P16" i="1" s="1"/>
  <c r="AA17" i="1"/>
  <c r="B17" i="1"/>
  <c r="AE16" i="1"/>
  <c r="AH16" i="1" s="1"/>
  <c r="G16" i="1"/>
  <c r="I16" i="1" s="1"/>
  <c r="U16" i="1"/>
  <c r="W16" i="1" s="1"/>
  <c r="AH15" i="1"/>
  <c r="G18" i="1" l="1"/>
  <c r="I18" i="1" s="1"/>
  <c r="U18" i="1"/>
  <c r="W18" i="1" s="1"/>
  <c r="N18" i="1"/>
  <c r="P18" i="1" s="1"/>
  <c r="A20" i="1"/>
  <c r="AG19" i="1"/>
  <c r="AE17" i="1"/>
  <c r="AB17" i="1"/>
  <c r="AD17" i="1" s="1"/>
  <c r="AA18" i="1"/>
  <c r="B18" i="1"/>
  <c r="A21" i="1" l="1"/>
  <c r="AG20" i="1"/>
  <c r="D19" i="1"/>
  <c r="M19" i="1"/>
  <c r="K19" i="1"/>
  <c r="F19" i="1"/>
  <c r="T19" i="1"/>
  <c r="R19" i="1"/>
  <c r="AE18" i="1"/>
  <c r="AH18" i="1" s="1"/>
  <c r="AB18" i="1"/>
  <c r="AD18" i="1" s="1"/>
  <c r="AA19" i="1"/>
  <c r="B19" i="1"/>
  <c r="AH17" i="1"/>
  <c r="A22" i="1" l="1"/>
  <c r="AG21" i="1"/>
  <c r="G19" i="1"/>
  <c r="I19" i="1" s="1"/>
  <c r="U19" i="1"/>
  <c r="W19" i="1" s="1"/>
  <c r="N19" i="1"/>
  <c r="P19" i="1" s="1"/>
  <c r="T20" i="1"/>
  <c r="M20" i="1"/>
  <c r="K20" i="1"/>
  <c r="D20" i="1"/>
  <c r="R20" i="1"/>
  <c r="F20" i="1"/>
  <c r="AE19" i="1"/>
  <c r="AB19" i="1"/>
  <c r="AD19" i="1" s="1"/>
  <c r="B20" i="1"/>
  <c r="AA20" i="1"/>
  <c r="A23" i="1" l="1"/>
  <c r="AG22" i="1"/>
  <c r="G20" i="1"/>
  <c r="I20" i="1" s="1"/>
  <c r="AB20" i="1"/>
  <c r="AD20" i="1" s="1"/>
  <c r="U20" i="1"/>
  <c r="W20" i="1" s="1"/>
  <c r="N20" i="1"/>
  <c r="P20" i="1" s="1"/>
  <c r="AE20" i="1"/>
  <c r="AH20" i="1" s="1"/>
  <c r="R21" i="1"/>
  <c r="K21" i="1"/>
  <c r="D21" i="1"/>
  <c r="AA21" i="1"/>
  <c r="T21" i="1"/>
  <c r="M21" i="1"/>
  <c r="F21" i="1"/>
  <c r="B21" i="1"/>
  <c r="AH19" i="1"/>
  <c r="A24" i="1" l="1"/>
  <c r="AG23" i="1"/>
  <c r="G21" i="1"/>
  <c r="I21" i="1" s="1"/>
  <c r="AE21" i="1"/>
  <c r="AH21" i="1" s="1"/>
  <c r="U21" i="1"/>
  <c r="W21" i="1" s="1"/>
  <c r="N21" i="1"/>
  <c r="P21" i="1" s="1"/>
  <c r="AB21" i="1"/>
  <c r="AD21" i="1" s="1"/>
  <c r="R22" i="1"/>
  <c r="K22" i="1"/>
  <c r="D22" i="1"/>
  <c r="B22" i="1"/>
  <c r="AA22" i="1"/>
  <c r="T22" i="1"/>
  <c r="M22" i="1"/>
  <c r="F22" i="1"/>
  <c r="A25" i="1" l="1"/>
  <c r="G22" i="1"/>
  <c r="I22" i="1" s="1"/>
  <c r="AB22" i="1"/>
  <c r="AD22" i="1" s="1"/>
  <c r="N22" i="1"/>
  <c r="P22" i="1" s="1"/>
  <c r="R23" i="1"/>
  <c r="K23" i="1"/>
  <c r="D23" i="1"/>
  <c r="AA23" i="1"/>
  <c r="T23" i="1"/>
  <c r="M23" i="1"/>
  <c r="F23" i="1"/>
  <c r="B23" i="1"/>
  <c r="AE22" i="1"/>
  <c r="AH22" i="1" s="1"/>
  <c r="U22" i="1"/>
  <c r="W22" i="1" s="1"/>
  <c r="A26" i="1" l="1"/>
  <c r="AG25" i="1"/>
  <c r="G23" i="1"/>
  <c r="I23" i="1" s="1"/>
  <c r="AE23" i="1"/>
  <c r="AH23" i="1" s="1"/>
  <c r="U23" i="1"/>
  <c r="W23" i="1" s="1"/>
  <c r="N23" i="1"/>
  <c r="P23" i="1" s="1"/>
  <c r="AB23" i="1"/>
  <c r="AD23" i="1" s="1"/>
  <c r="B24" i="1"/>
  <c r="A27" i="1" l="1"/>
  <c r="AG26" i="1"/>
  <c r="R25" i="1"/>
  <c r="K25" i="1"/>
  <c r="D25" i="1"/>
  <c r="AA25" i="1"/>
  <c r="T25" i="1"/>
  <c r="M25" i="1"/>
  <c r="F25" i="1"/>
  <c r="B25" i="1"/>
  <c r="A28" i="1" l="1"/>
  <c r="AG27" i="1"/>
  <c r="M26" i="1"/>
  <c r="AE25" i="1"/>
  <c r="AH25" i="1" s="1"/>
  <c r="G25" i="1"/>
  <c r="I25" i="1" s="1"/>
  <c r="U25" i="1"/>
  <c r="W25" i="1" s="1"/>
  <c r="N25" i="1"/>
  <c r="P25" i="1" s="1"/>
  <c r="AB25" i="1"/>
  <c r="AD25" i="1" s="1"/>
  <c r="R26" i="1"/>
  <c r="K26" i="1"/>
  <c r="D26" i="1"/>
  <c r="B26" i="1"/>
  <c r="AA26" i="1"/>
  <c r="AB26" i="1" s="1"/>
  <c r="AD26" i="1" s="1"/>
  <c r="T26" i="1"/>
  <c r="F26" i="1"/>
  <c r="A29" i="1" l="1"/>
  <c r="AG28" i="1"/>
  <c r="N26" i="1"/>
  <c r="P26" i="1" s="1"/>
  <c r="R27" i="1"/>
  <c r="K27" i="1"/>
  <c r="D27" i="1"/>
  <c r="AA27" i="1"/>
  <c r="T27" i="1"/>
  <c r="M27" i="1"/>
  <c r="F27" i="1"/>
  <c r="B27" i="1"/>
  <c r="AE26" i="1"/>
  <c r="AH26" i="1" s="1"/>
  <c r="G26" i="1"/>
  <c r="I26" i="1" s="1"/>
  <c r="U26" i="1"/>
  <c r="W26" i="1" s="1"/>
  <c r="A30" i="1" l="1"/>
  <c r="AG29" i="1"/>
  <c r="AE27" i="1"/>
  <c r="AH27" i="1" s="1"/>
  <c r="G27" i="1"/>
  <c r="I27" i="1" s="1"/>
  <c r="U27" i="1"/>
  <c r="W27" i="1" s="1"/>
  <c r="N27" i="1"/>
  <c r="P27" i="1" s="1"/>
  <c r="AB27" i="1"/>
  <c r="AD27" i="1" s="1"/>
  <c r="R28" i="1"/>
  <c r="K28" i="1"/>
  <c r="D28" i="1"/>
  <c r="B28" i="1"/>
  <c r="AA28" i="1"/>
  <c r="T28" i="1"/>
  <c r="M28" i="1"/>
  <c r="F28" i="1"/>
  <c r="A31" i="1" l="1"/>
  <c r="AG30" i="1"/>
  <c r="AB28" i="1"/>
  <c r="AD28" i="1" s="1"/>
  <c r="N28" i="1"/>
  <c r="P28" i="1" s="1"/>
  <c r="R29" i="1"/>
  <c r="K29" i="1"/>
  <c r="D29" i="1"/>
  <c r="AA29" i="1"/>
  <c r="T29" i="1"/>
  <c r="M29" i="1"/>
  <c r="F29" i="1"/>
  <c r="B29" i="1"/>
  <c r="AE28" i="1"/>
  <c r="AH28" i="1" s="1"/>
  <c r="G28" i="1"/>
  <c r="I28" i="1" s="1"/>
  <c r="U28" i="1"/>
  <c r="W28" i="1" s="1"/>
  <c r="A32" i="1" l="1"/>
  <c r="AG31" i="1"/>
  <c r="U29" i="1"/>
  <c r="W29" i="1" s="1"/>
  <c r="AE29" i="1"/>
  <c r="AH29" i="1" s="1"/>
  <c r="G29" i="1"/>
  <c r="I29" i="1" s="1"/>
  <c r="N29" i="1"/>
  <c r="P29" i="1" s="1"/>
  <c r="AB29" i="1"/>
  <c r="AD29" i="1" s="1"/>
  <c r="R30" i="1"/>
  <c r="K30" i="1"/>
  <c r="D30" i="1"/>
  <c r="B30" i="1"/>
  <c r="AA30" i="1"/>
  <c r="T30" i="1"/>
  <c r="M30" i="1"/>
  <c r="F30" i="1"/>
  <c r="A33" i="1" l="1"/>
  <c r="AG32" i="1"/>
  <c r="AE30" i="1"/>
  <c r="AH30" i="1" s="1"/>
  <c r="G30" i="1"/>
  <c r="I30" i="1" s="1"/>
  <c r="U30" i="1"/>
  <c r="W30" i="1" s="1"/>
  <c r="AA31" i="1"/>
  <c r="AB31" i="1" s="1"/>
  <c r="AD31" i="1" s="1"/>
  <c r="T31" i="1"/>
  <c r="M31" i="1"/>
  <c r="F31" i="1"/>
  <c r="B31" i="1"/>
  <c r="R31" i="1"/>
  <c r="K31" i="1"/>
  <c r="D31" i="1"/>
  <c r="N30" i="1"/>
  <c r="P30" i="1" s="1"/>
  <c r="AB30" i="1"/>
  <c r="AD30" i="1" s="1"/>
  <c r="A34" i="1" l="1"/>
  <c r="AG33" i="1"/>
  <c r="U31" i="1"/>
  <c r="W31" i="1" s="1"/>
  <c r="N31" i="1"/>
  <c r="P31" i="1" s="1"/>
  <c r="AA32" i="1"/>
  <c r="AB32" i="1" s="1"/>
  <c r="AD32" i="1" s="1"/>
  <c r="T32" i="1"/>
  <c r="M32" i="1"/>
  <c r="F32" i="1"/>
  <c r="B32" i="1"/>
  <c r="R32" i="1"/>
  <c r="K32" i="1"/>
  <c r="D32" i="1"/>
  <c r="AE31" i="1"/>
  <c r="AH31" i="1" s="1"/>
  <c r="G31" i="1"/>
  <c r="I31" i="1" s="1"/>
  <c r="A35" i="1" l="1"/>
  <c r="AG34" i="1"/>
  <c r="U32" i="1"/>
  <c r="W32" i="1" s="1"/>
  <c r="AE32" i="1"/>
  <c r="AH32" i="1" s="1"/>
  <c r="G32" i="1"/>
  <c r="I32" i="1" s="1"/>
  <c r="AA33" i="1"/>
  <c r="AB33" i="1" s="1"/>
  <c r="AD33" i="1" s="1"/>
  <c r="T33" i="1"/>
  <c r="M33" i="1"/>
  <c r="F33" i="1"/>
  <c r="B33" i="1"/>
  <c r="R33" i="1"/>
  <c r="K33" i="1"/>
  <c r="D33" i="1"/>
  <c r="K34" i="1"/>
  <c r="N32" i="1"/>
  <c r="P32" i="1" s="1"/>
  <c r="K35" i="1" l="1"/>
  <c r="A36" i="1"/>
  <c r="AG35" i="1"/>
  <c r="U33" i="1"/>
  <c r="W33" i="1" s="1"/>
  <c r="AE33" i="1"/>
  <c r="AH33" i="1" s="1"/>
  <c r="G33" i="1"/>
  <c r="I33" i="1" s="1"/>
  <c r="AA34" i="1"/>
  <c r="T34" i="1"/>
  <c r="M34" i="1"/>
  <c r="F34" i="1"/>
  <c r="B34" i="1"/>
  <c r="R34" i="1"/>
  <c r="D34" i="1"/>
  <c r="N33" i="1"/>
  <c r="P33" i="1" s="1"/>
  <c r="A37" i="1" l="1"/>
  <c r="AG36" i="1"/>
  <c r="AB34" i="1"/>
  <c r="AD34" i="1" s="1"/>
  <c r="U34" i="1"/>
  <c r="W34" i="1" s="1"/>
  <c r="AE34" i="1"/>
  <c r="AH34" i="1" s="1"/>
  <c r="G34" i="1"/>
  <c r="AA35" i="1"/>
  <c r="T35" i="1"/>
  <c r="M35" i="1"/>
  <c r="F35" i="1"/>
  <c r="B35" i="1"/>
  <c r="R35" i="1"/>
  <c r="D35" i="1"/>
  <c r="N34" i="1"/>
  <c r="B37" i="1" l="1"/>
  <c r="AG37" i="1"/>
  <c r="P34" i="1"/>
  <c r="I34" i="1"/>
  <c r="U35" i="1"/>
  <c r="W35" i="1" s="1"/>
  <c r="AE35" i="1"/>
  <c r="AH35" i="1" s="1"/>
  <c r="G35" i="1"/>
  <c r="I35" i="1" s="1"/>
  <c r="AA36" i="1"/>
  <c r="T36" i="1"/>
  <c r="M36" i="1"/>
  <c r="F36" i="1"/>
  <c r="B36" i="1"/>
  <c r="R36" i="1"/>
  <c r="K36" i="1"/>
  <c r="D36" i="1"/>
  <c r="N35" i="1"/>
  <c r="P35" i="1" s="1"/>
  <c r="AB35" i="1"/>
  <c r="AD35" i="1" s="1"/>
  <c r="U36" i="1" l="1"/>
  <c r="W36" i="1" s="1"/>
  <c r="AE36" i="1"/>
  <c r="AE38" i="1" s="1"/>
  <c r="G36" i="1"/>
  <c r="AA37" i="1"/>
  <c r="AA38" i="1" s="1"/>
  <c r="T37" i="1"/>
  <c r="T38" i="1" s="1"/>
  <c r="M37" i="1"/>
  <c r="M38" i="1" s="1"/>
  <c r="F37" i="1"/>
  <c r="F38" i="1" s="1"/>
  <c r="AG38" i="1"/>
  <c r="R37" i="1"/>
  <c r="K37" i="1"/>
  <c r="D37" i="1"/>
  <c r="N36" i="1"/>
  <c r="P36" i="1" s="1"/>
  <c r="AB36" i="1"/>
  <c r="AD36" i="1" s="1"/>
  <c r="AE37" i="1" l="1"/>
  <c r="G37" i="1"/>
  <c r="G38" i="1" s="1"/>
  <c r="U37" i="1"/>
  <c r="U38" i="1" s="1"/>
  <c r="N37" i="1"/>
  <c r="N38" i="1" s="1"/>
  <c r="AB37" i="1"/>
  <c r="I36" i="1"/>
  <c r="D38" i="1"/>
  <c r="R38" i="1"/>
  <c r="K38" i="1"/>
  <c r="Y38" i="1"/>
  <c r="AH36" i="1"/>
  <c r="AB38" i="1" l="1"/>
  <c r="AD37" i="1"/>
  <c r="P37" i="1"/>
  <c r="P38" i="1" s="1"/>
  <c r="AH37" i="1"/>
  <c r="AH38" i="1" s="1"/>
  <c r="I37" i="1"/>
  <c r="I38" i="1" s="1"/>
  <c r="W37" i="1"/>
  <c r="W38" i="1" s="1"/>
  <c r="AD38" i="1" l="1"/>
</calcChain>
</file>

<file path=xl/sharedStrings.xml><?xml version="1.0" encoding="utf-8"?>
<sst xmlns="http://schemas.openxmlformats.org/spreadsheetml/2006/main" count="53" uniqueCount="32">
  <si>
    <t>年</t>
    <rPh sb="0" eb="1">
      <t>ネン</t>
    </rPh>
    <phoneticPr fontId="4"/>
  </si>
  <si>
    <t>月</t>
    <rPh sb="0" eb="1">
      <t>ツキ</t>
    </rPh>
    <phoneticPr fontId="4"/>
  </si>
  <si>
    <t>業者コード</t>
    <rPh sb="0" eb="2">
      <t>ギョウシャ</t>
    </rPh>
    <phoneticPr fontId="4"/>
  </si>
  <si>
    <t>業者名</t>
    <rPh sb="0" eb="2">
      <t>ギョウシャ</t>
    </rPh>
    <rPh sb="2" eb="3">
      <t>メイ</t>
    </rPh>
    <phoneticPr fontId="4"/>
  </si>
  <si>
    <t>車種</t>
    <rPh sb="0" eb="2">
      <t>シャシュ</t>
    </rPh>
    <phoneticPr fontId="4"/>
  </si>
  <si>
    <t>エフエートラック</t>
    <phoneticPr fontId="4"/>
  </si>
  <si>
    <t>４トン</t>
    <phoneticPr fontId="4"/>
  </si>
  <si>
    <t>便名</t>
    <rPh sb="0" eb="2">
      <t>ビンメイ</t>
    </rPh>
    <phoneticPr fontId="4"/>
  </si>
  <si>
    <t>滋賀地区①</t>
    <rPh sb="0" eb="2">
      <t>シガ</t>
    </rPh>
    <rPh sb="2" eb="4">
      <t>チク</t>
    </rPh>
    <phoneticPr fontId="4"/>
  </si>
  <si>
    <t>滋賀地区②</t>
    <rPh sb="0" eb="2">
      <t>シガ</t>
    </rPh>
    <rPh sb="2" eb="4">
      <t>チク</t>
    </rPh>
    <phoneticPr fontId="4"/>
  </si>
  <si>
    <t>滋賀地区③</t>
    <rPh sb="0" eb="2">
      <t>シガ</t>
    </rPh>
    <rPh sb="2" eb="4">
      <t>チク</t>
    </rPh>
    <phoneticPr fontId="4"/>
  </si>
  <si>
    <t>滋賀地区④</t>
    <rPh sb="0" eb="2">
      <t>シガ</t>
    </rPh>
    <rPh sb="2" eb="4">
      <t>チク</t>
    </rPh>
    <phoneticPr fontId="4"/>
  </si>
  <si>
    <t>車格金額合計</t>
    <rPh sb="0" eb="2">
      <t>シャカク</t>
    </rPh>
    <rPh sb="2" eb="4">
      <t>キンガク</t>
    </rPh>
    <rPh sb="4" eb="6">
      <t>ゴウケイ</t>
    </rPh>
    <phoneticPr fontId="4"/>
  </si>
  <si>
    <t>高速代合計</t>
    <rPh sb="0" eb="3">
      <t>コウソクダイ</t>
    </rPh>
    <rPh sb="3" eb="5">
      <t>ゴウケイ</t>
    </rPh>
    <phoneticPr fontId="4"/>
  </si>
  <si>
    <t>日次合計</t>
    <rPh sb="0" eb="2">
      <t>ニチジ</t>
    </rPh>
    <rPh sb="2" eb="4">
      <t>ゴウケイ</t>
    </rPh>
    <phoneticPr fontId="4"/>
  </si>
  <si>
    <t>経由地</t>
    <rPh sb="0" eb="3">
      <t>ケイユチ</t>
    </rPh>
    <phoneticPr fontId="4"/>
  </si>
  <si>
    <t>長浜ー彦根ー東近江ー近江八幡</t>
    <rPh sb="0" eb="2">
      <t>ナガハマ</t>
    </rPh>
    <rPh sb="3" eb="5">
      <t>ヒコネ</t>
    </rPh>
    <rPh sb="6" eb="7">
      <t>ヒガシ</t>
    </rPh>
    <rPh sb="7" eb="9">
      <t>オウミ</t>
    </rPh>
    <rPh sb="10" eb="14">
      <t>オウミハチマン</t>
    </rPh>
    <phoneticPr fontId="4"/>
  </si>
  <si>
    <t>水口ーイオン草津ー草津</t>
    <rPh sb="0" eb="2">
      <t>ミズグチ</t>
    </rPh>
    <rPh sb="6" eb="8">
      <t>クサツ</t>
    </rPh>
    <rPh sb="9" eb="11">
      <t>クサツ</t>
    </rPh>
    <phoneticPr fontId="4"/>
  </si>
  <si>
    <t>今津ー西大津ー堅田</t>
    <rPh sb="0" eb="2">
      <t>イマヅ</t>
    </rPh>
    <rPh sb="3" eb="4">
      <t>ニシ</t>
    </rPh>
    <rPh sb="4" eb="6">
      <t>オオツ</t>
    </rPh>
    <rPh sb="7" eb="9">
      <t>カタダ</t>
    </rPh>
    <phoneticPr fontId="4"/>
  </si>
  <si>
    <t>守山</t>
    <rPh sb="0" eb="2">
      <t>モリヤマ</t>
    </rPh>
    <phoneticPr fontId="4"/>
  </si>
  <si>
    <t>単価</t>
    <rPh sb="0" eb="2">
      <t>タンカ</t>
    </rPh>
    <phoneticPr fontId="4"/>
  </si>
  <si>
    <t>残業時間</t>
    <rPh sb="0" eb="2">
      <t>ザンギョウ</t>
    </rPh>
    <rPh sb="2" eb="4">
      <t>ジカン</t>
    </rPh>
    <phoneticPr fontId="4"/>
  </si>
  <si>
    <t>運賃＋残業代</t>
    <rPh sb="0" eb="2">
      <t>ウンチン</t>
    </rPh>
    <rPh sb="3" eb="6">
      <t>ザンギョウダイ</t>
    </rPh>
    <phoneticPr fontId="4"/>
  </si>
  <si>
    <t>高速代</t>
    <rPh sb="0" eb="3">
      <t>コウソクダイ</t>
    </rPh>
    <phoneticPr fontId="4"/>
  </si>
  <si>
    <t>コース支払
金額合計</t>
    <rPh sb="3" eb="5">
      <t>シハライ</t>
    </rPh>
    <rPh sb="6" eb="8">
      <t>キンガク</t>
    </rPh>
    <rPh sb="8" eb="10">
      <t>ゴウケイ</t>
    </rPh>
    <phoneticPr fontId="4"/>
  </si>
  <si>
    <t>手配日</t>
    <rPh sb="0" eb="2">
      <t>テハイ</t>
    </rPh>
    <rPh sb="2" eb="3">
      <t>ビ</t>
    </rPh>
    <phoneticPr fontId="4"/>
  </si>
  <si>
    <t>曜日</t>
    <rPh sb="0" eb="2">
      <t>ヨウビ</t>
    </rPh>
    <phoneticPr fontId="4"/>
  </si>
  <si>
    <t>台数</t>
    <rPh sb="0" eb="2">
      <t>ダイスウ</t>
    </rPh>
    <phoneticPr fontId="4"/>
  </si>
  <si>
    <t>運賃</t>
    <rPh sb="0" eb="2">
      <t>ウンチン</t>
    </rPh>
    <phoneticPr fontId="4"/>
  </si>
  <si>
    <t>残業下代</t>
    <rPh sb="0" eb="2">
      <t>ザンギョウ</t>
    </rPh>
    <rPh sb="2" eb="4">
      <t>ゲダイ</t>
    </rPh>
    <phoneticPr fontId="4"/>
  </si>
  <si>
    <t>支払合計</t>
    <rPh sb="0" eb="2">
      <t>シハラ</t>
    </rPh>
    <rPh sb="2" eb="4">
      <t>ゴウケイ</t>
    </rPh>
    <phoneticPr fontId="4"/>
  </si>
  <si>
    <t>合計</t>
    <rPh sb="0" eb="2">
      <t>ゴウケイ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</si>
</sst>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&quot;¥&quot;#,##0_);[Red]\(&quot;¥&quot;#,##0\)"/>
  </numFmts>
  <fonts count="15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8"/>
      <name val="メイリオ"/>
      <family val="3"/>
      <charset val="128"/>
    </font>
    <font>
      <sz val="18"/>
      <color theme="1"/>
      <name val="游ゴシック"/>
      <family val="3"/>
      <charset val="128"/>
      <scheme val="minor"/>
    </font>
    <font>
      <sz val="18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theme="1"/>
      <name val="游ゴシック"/>
      <family val="3"/>
      <charset val="128"/>
      <scheme val="minor"/>
    </font>
    <font>
      <sz val="10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8"/>
      <color theme="0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5" fontId="10" fillId="6" borderId="11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38" fontId="10" fillId="0" borderId="0" xfId="1" applyFont="1" applyFill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56" fontId="6" fillId="0" borderId="20" xfId="0" applyNumberFormat="1" applyFont="1" applyBorder="1" applyAlignment="1">
      <alignment horizontal="center" vertical="center"/>
    </xf>
    <xf numFmtId="0" fontId="6" fillId="6" borderId="12" xfId="0" applyFont="1" applyFill="1" applyBorder="1" applyAlignment="1" applyProtection="1">
      <alignment horizontal="center" vertical="center" shrinkToFit="1"/>
      <protection locked="0"/>
    </xf>
    <xf numFmtId="6" fontId="6" fillId="0" borderId="21" xfId="0" applyNumberFormat="1" applyFont="1" applyBorder="1">
      <alignment vertical="center"/>
    </xf>
    <xf numFmtId="0" fontId="6" fillId="6" borderId="12" xfId="0" applyFont="1" applyFill="1" applyBorder="1" applyAlignment="1" applyProtection="1">
      <alignment horizontal="center" vertical="center"/>
      <protection locked="0"/>
    </xf>
    <xf numFmtId="6" fontId="6" fillId="0" borderId="22" xfId="0" applyNumberFormat="1" applyFont="1" applyBorder="1">
      <alignment vertical="center"/>
    </xf>
    <xf numFmtId="6" fontId="6" fillId="0" borderId="13" xfId="0" applyNumberFormat="1" applyFont="1" applyBorder="1">
      <alignment vertical="center"/>
    </xf>
    <xf numFmtId="6" fontId="6" fillId="6" borderId="13" xfId="0" applyNumberFormat="1" applyFont="1" applyFill="1" applyBorder="1" applyProtection="1">
      <alignment vertical="center"/>
      <protection locked="0"/>
    </xf>
    <xf numFmtId="6" fontId="6" fillId="0" borderId="23" xfId="0" applyNumberFormat="1" applyFont="1" applyBorder="1">
      <alignment vertical="center"/>
    </xf>
    <xf numFmtId="6" fontId="6" fillId="6" borderId="20" xfId="0" applyNumberFormat="1" applyFont="1" applyFill="1" applyBorder="1" applyProtection="1">
      <alignment vertical="center"/>
      <protection locked="0"/>
    </xf>
    <xf numFmtId="176" fontId="2" fillId="0" borderId="20" xfId="0" applyNumberFormat="1" applyFont="1" applyBorder="1">
      <alignment vertical="center"/>
    </xf>
    <xf numFmtId="0" fontId="6" fillId="6" borderId="24" xfId="0" applyFont="1" applyFill="1" applyBorder="1" applyAlignment="1">
      <alignment horizontal="center" vertical="center" shrinkToFit="1"/>
    </xf>
    <xf numFmtId="6" fontId="6" fillId="0" borderId="22" xfId="0" applyNumberFormat="1" applyFont="1" applyBorder="1" applyAlignment="1">
      <alignment horizontal="right" vertical="center" shrinkToFit="1"/>
    </xf>
    <xf numFmtId="56" fontId="6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 applyProtection="1">
      <alignment horizontal="center" vertical="center" shrinkToFit="1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6" fontId="6" fillId="6" borderId="4" xfId="0" applyNumberFormat="1" applyFont="1" applyFill="1" applyBorder="1" applyProtection="1">
      <alignment vertical="center"/>
      <protection locked="0"/>
    </xf>
    <xf numFmtId="6" fontId="6" fillId="6" borderId="1" xfId="0" applyNumberFormat="1" applyFont="1" applyFill="1" applyBorder="1" applyProtection="1">
      <alignment vertical="center"/>
      <protection locked="0"/>
    </xf>
    <xf numFmtId="0" fontId="6" fillId="6" borderId="3" xfId="0" applyFont="1" applyFill="1" applyBorder="1" applyAlignment="1">
      <alignment horizontal="center" vertical="center" shrinkToFit="1"/>
    </xf>
    <xf numFmtId="0" fontId="6" fillId="6" borderId="6" xfId="0" applyFont="1" applyFill="1" applyBorder="1" applyAlignment="1" applyProtection="1">
      <alignment horizontal="center" vertical="center"/>
      <protection locked="0"/>
    </xf>
    <xf numFmtId="6" fontId="6" fillId="6" borderId="7" xfId="0" applyNumberFormat="1" applyFont="1" applyFill="1" applyBorder="1" applyProtection="1">
      <alignment vertical="center"/>
      <protection locked="0"/>
    </xf>
    <xf numFmtId="6" fontId="6" fillId="6" borderId="5" xfId="0" applyNumberFormat="1" applyFont="1" applyFill="1" applyBorder="1" applyProtection="1">
      <alignment vertical="center"/>
      <protection locked="0"/>
    </xf>
    <xf numFmtId="0" fontId="2" fillId="0" borderId="27" xfId="0" applyFont="1" applyBorder="1" applyAlignment="1">
      <alignment horizontal="center" vertical="center" shrinkToFit="1"/>
    </xf>
    <xf numFmtId="6" fontId="2" fillId="0" borderId="28" xfId="0" applyNumberFormat="1" applyFont="1" applyBorder="1">
      <alignment vertical="center"/>
    </xf>
    <xf numFmtId="0" fontId="2" fillId="0" borderId="25" xfId="0" applyFont="1" applyBorder="1" applyAlignment="1">
      <alignment horizontal="center" vertical="center"/>
    </xf>
    <xf numFmtId="6" fontId="2" fillId="0" borderId="29" xfId="0" applyNumberFormat="1" applyFont="1" applyBorder="1">
      <alignment vertical="center"/>
    </xf>
    <xf numFmtId="6" fontId="2" fillId="0" borderId="26" xfId="0" applyNumberFormat="1" applyFont="1" applyBorder="1">
      <alignment vertical="center"/>
    </xf>
    <xf numFmtId="6" fontId="2" fillId="0" borderId="30" xfId="0" applyNumberFormat="1" applyFont="1" applyBorder="1">
      <alignment vertical="center"/>
    </xf>
    <xf numFmtId="0" fontId="2" fillId="0" borderId="27" xfId="0" applyFont="1" applyBorder="1" applyAlignment="1">
      <alignment horizontal="center" vertical="center"/>
    </xf>
    <xf numFmtId="176" fontId="2" fillId="0" borderId="29" xfId="0" applyNumberFormat="1" applyFont="1" applyBorder="1">
      <alignment vertical="center"/>
    </xf>
    <xf numFmtId="176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5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56" fontId="6" fillId="0" borderId="0" xfId="0" applyNumberFormat="1" applyFont="1">
      <alignment vertical="center"/>
    </xf>
    <xf numFmtId="0" fontId="6" fillId="0" borderId="0" xfId="0" applyFont="1">
      <alignment vertical="center"/>
    </xf>
    <xf numFmtId="56" fontId="2" fillId="0" borderId="0" xfId="0" applyNumberFormat="1" applyFo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>
      <alignment vertical="center"/>
    </xf>
    <xf numFmtId="0" fontId="0" fillId="0" borderId="3" xfId="0" applyBorder="1">
      <alignment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0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6" fontId="10" fillId="6" borderId="2" xfId="1" applyNumberFormat="1" applyFont="1" applyFill="1" applyBorder="1" applyAlignment="1" applyProtection="1">
      <alignment horizontal="center" vertical="center"/>
      <protection locked="0"/>
    </xf>
    <xf numFmtId="6" fontId="0" fillId="6" borderId="3" xfId="0" applyNumberFormat="1" applyFill="1" applyBorder="1" applyAlignment="1" applyProtection="1">
      <alignment horizontal="center" vertical="center"/>
      <protection locked="0"/>
    </xf>
    <xf numFmtId="56" fontId="2" fillId="7" borderId="25" xfId="0" applyNumberFormat="1" applyFon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9AD0-3BA7-4DBA-9397-0D7BFC0D61C7}">
  <sheetPr>
    <tabColor theme="7" tint="0.79998168889431442"/>
    <pageSetUpPr fitToPage="1"/>
  </sheetPr>
  <dimension ref="A1:AJ88"/>
  <sheetViews>
    <sheetView tabSelected="1" zoomScale="50" zoomScaleNormal="5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C2" sqref="C2"/>
    </sheetView>
  </sheetViews>
  <sheetFormatPr defaultColWidth="5.3984375" defaultRowHeight="17.399999999999999" x14ac:dyDescent="0.45"/>
  <cols>
    <col min="1" max="1" width="10.59765625" style="5" bestFit="1" customWidth="1"/>
    <col min="2" max="2" width="7.69921875" style="5" bestFit="1" customWidth="1"/>
    <col min="3" max="3" width="8.59765625" style="2" customWidth="1"/>
    <col min="4" max="4" width="14.09765625" style="2" customWidth="1"/>
    <col min="5" max="5" width="8.59765625" style="5" customWidth="1"/>
    <col min="6" max="9" width="14.09765625" style="2" customWidth="1"/>
    <col min="10" max="10" width="8.59765625" style="5" customWidth="1"/>
    <col min="11" max="11" width="14.09765625" style="5" customWidth="1"/>
    <col min="12" max="12" width="8.59765625" style="5" customWidth="1"/>
    <col min="13" max="16" width="14.09765625" style="5" customWidth="1"/>
    <col min="17" max="17" width="8.59765625" style="5" customWidth="1"/>
    <col min="18" max="18" width="14.09765625" style="5" customWidth="1"/>
    <col min="19" max="19" width="8.59765625" style="5" customWidth="1"/>
    <col min="20" max="23" width="14.09765625" style="5" customWidth="1"/>
    <col min="24" max="24" width="8.59765625" style="5" customWidth="1"/>
    <col min="25" max="25" width="14.09765625" style="5" customWidth="1"/>
    <col min="26" max="26" width="8.59765625" style="5" customWidth="1"/>
    <col min="27" max="30" width="14.09765625" style="5" customWidth="1"/>
    <col min="31" max="31" width="21" style="5" customWidth="1"/>
    <col min="32" max="32" width="17.59765625" style="5" bestFit="1" customWidth="1"/>
    <col min="33" max="33" width="8.59765625" style="5" customWidth="1"/>
    <col min="34" max="34" width="18.19921875" style="5" customWidth="1"/>
    <col min="35" max="38" width="5.3984375" style="5" customWidth="1"/>
    <col min="39" max="256" width="5.3984375" style="5"/>
    <col min="257" max="257" width="10" style="5" bestFit="1" customWidth="1"/>
    <col min="258" max="258" width="7.69921875" style="5" bestFit="1" customWidth="1"/>
    <col min="259" max="259" width="8.59765625" style="5" customWidth="1"/>
    <col min="260" max="260" width="14.09765625" style="5" customWidth="1"/>
    <col min="261" max="261" width="8.59765625" style="5" customWidth="1"/>
    <col min="262" max="265" width="14.09765625" style="5" customWidth="1"/>
    <col min="266" max="266" width="8.59765625" style="5" customWidth="1"/>
    <col min="267" max="267" width="14.09765625" style="5" customWidth="1"/>
    <col min="268" max="268" width="8.59765625" style="5" customWidth="1"/>
    <col min="269" max="272" width="14.09765625" style="5" customWidth="1"/>
    <col min="273" max="273" width="8.59765625" style="5" customWidth="1"/>
    <col min="274" max="274" width="14.09765625" style="5" customWidth="1"/>
    <col min="275" max="275" width="8.59765625" style="5" customWidth="1"/>
    <col min="276" max="279" width="14.09765625" style="5" customWidth="1"/>
    <col min="280" max="280" width="8.59765625" style="5" customWidth="1"/>
    <col min="281" max="281" width="14.09765625" style="5" customWidth="1"/>
    <col min="282" max="282" width="8.59765625" style="5" customWidth="1"/>
    <col min="283" max="286" width="14.09765625" style="5" customWidth="1"/>
    <col min="287" max="287" width="21" style="5" customWidth="1"/>
    <col min="288" max="288" width="17.59765625" style="5" bestFit="1" customWidth="1"/>
    <col min="289" max="289" width="8.59765625" style="5" customWidth="1"/>
    <col min="290" max="290" width="14.09765625" style="5" customWidth="1"/>
    <col min="291" max="512" width="5.3984375" style="5"/>
    <col min="513" max="513" width="10" style="5" bestFit="1" customWidth="1"/>
    <col min="514" max="514" width="7.69921875" style="5" bestFit="1" customWidth="1"/>
    <col min="515" max="515" width="8.59765625" style="5" customWidth="1"/>
    <col min="516" max="516" width="14.09765625" style="5" customWidth="1"/>
    <col min="517" max="517" width="8.59765625" style="5" customWidth="1"/>
    <col min="518" max="521" width="14.09765625" style="5" customWidth="1"/>
    <col min="522" max="522" width="8.59765625" style="5" customWidth="1"/>
    <col min="523" max="523" width="14.09765625" style="5" customWidth="1"/>
    <col min="524" max="524" width="8.59765625" style="5" customWidth="1"/>
    <col min="525" max="528" width="14.09765625" style="5" customWidth="1"/>
    <col min="529" max="529" width="8.59765625" style="5" customWidth="1"/>
    <col min="530" max="530" width="14.09765625" style="5" customWidth="1"/>
    <col min="531" max="531" width="8.59765625" style="5" customWidth="1"/>
    <col min="532" max="535" width="14.09765625" style="5" customWidth="1"/>
    <col min="536" max="536" width="8.59765625" style="5" customWidth="1"/>
    <col min="537" max="537" width="14.09765625" style="5" customWidth="1"/>
    <col min="538" max="538" width="8.59765625" style="5" customWidth="1"/>
    <col min="539" max="542" width="14.09765625" style="5" customWidth="1"/>
    <col min="543" max="543" width="21" style="5" customWidth="1"/>
    <col min="544" max="544" width="17.59765625" style="5" bestFit="1" customWidth="1"/>
    <col min="545" max="545" width="8.59765625" style="5" customWidth="1"/>
    <col min="546" max="546" width="14.09765625" style="5" customWidth="1"/>
    <col min="547" max="768" width="5.3984375" style="5"/>
    <col min="769" max="769" width="10" style="5" bestFit="1" customWidth="1"/>
    <col min="770" max="770" width="7.69921875" style="5" bestFit="1" customWidth="1"/>
    <col min="771" max="771" width="8.59765625" style="5" customWidth="1"/>
    <col min="772" max="772" width="14.09765625" style="5" customWidth="1"/>
    <col min="773" max="773" width="8.59765625" style="5" customWidth="1"/>
    <col min="774" max="777" width="14.09765625" style="5" customWidth="1"/>
    <col min="778" max="778" width="8.59765625" style="5" customWidth="1"/>
    <col min="779" max="779" width="14.09765625" style="5" customWidth="1"/>
    <col min="780" max="780" width="8.59765625" style="5" customWidth="1"/>
    <col min="781" max="784" width="14.09765625" style="5" customWidth="1"/>
    <col min="785" max="785" width="8.59765625" style="5" customWidth="1"/>
    <col min="786" max="786" width="14.09765625" style="5" customWidth="1"/>
    <col min="787" max="787" width="8.59765625" style="5" customWidth="1"/>
    <col min="788" max="791" width="14.09765625" style="5" customWidth="1"/>
    <col min="792" max="792" width="8.59765625" style="5" customWidth="1"/>
    <col min="793" max="793" width="14.09765625" style="5" customWidth="1"/>
    <col min="794" max="794" width="8.59765625" style="5" customWidth="1"/>
    <col min="795" max="798" width="14.09765625" style="5" customWidth="1"/>
    <col min="799" max="799" width="21" style="5" customWidth="1"/>
    <col min="800" max="800" width="17.59765625" style="5" bestFit="1" customWidth="1"/>
    <col min="801" max="801" width="8.59765625" style="5" customWidth="1"/>
    <col min="802" max="802" width="14.09765625" style="5" customWidth="1"/>
    <col min="803" max="1024" width="5.3984375" style="5"/>
    <col min="1025" max="1025" width="10" style="5" bestFit="1" customWidth="1"/>
    <col min="1026" max="1026" width="7.69921875" style="5" bestFit="1" customWidth="1"/>
    <col min="1027" max="1027" width="8.59765625" style="5" customWidth="1"/>
    <col min="1028" max="1028" width="14.09765625" style="5" customWidth="1"/>
    <col min="1029" max="1029" width="8.59765625" style="5" customWidth="1"/>
    <col min="1030" max="1033" width="14.09765625" style="5" customWidth="1"/>
    <col min="1034" max="1034" width="8.59765625" style="5" customWidth="1"/>
    <col min="1035" max="1035" width="14.09765625" style="5" customWidth="1"/>
    <col min="1036" max="1036" width="8.59765625" style="5" customWidth="1"/>
    <col min="1037" max="1040" width="14.09765625" style="5" customWidth="1"/>
    <col min="1041" max="1041" width="8.59765625" style="5" customWidth="1"/>
    <col min="1042" max="1042" width="14.09765625" style="5" customWidth="1"/>
    <col min="1043" max="1043" width="8.59765625" style="5" customWidth="1"/>
    <col min="1044" max="1047" width="14.09765625" style="5" customWidth="1"/>
    <col min="1048" max="1048" width="8.59765625" style="5" customWidth="1"/>
    <col min="1049" max="1049" width="14.09765625" style="5" customWidth="1"/>
    <col min="1050" max="1050" width="8.59765625" style="5" customWidth="1"/>
    <col min="1051" max="1054" width="14.09765625" style="5" customWidth="1"/>
    <col min="1055" max="1055" width="21" style="5" customWidth="1"/>
    <col min="1056" max="1056" width="17.59765625" style="5" bestFit="1" customWidth="1"/>
    <col min="1057" max="1057" width="8.59765625" style="5" customWidth="1"/>
    <col min="1058" max="1058" width="14.09765625" style="5" customWidth="1"/>
    <col min="1059" max="1280" width="5.3984375" style="5"/>
    <col min="1281" max="1281" width="10" style="5" bestFit="1" customWidth="1"/>
    <col min="1282" max="1282" width="7.69921875" style="5" bestFit="1" customWidth="1"/>
    <col min="1283" max="1283" width="8.59765625" style="5" customWidth="1"/>
    <col min="1284" max="1284" width="14.09765625" style="5" customWidth="1"/>
    <col min="1285" max="1285" width="8.59765625" style="5" customWidth="1"/>
    <col min="1286" max="1289" width="14.09765625" style="5" customWidth="1"/>
    <col min="1290" max="1290" width="8.59765625" style="5" customWidth="1"/>
    <col min="1291" max="1291" width="14.09765625" style="5" customWidth="1"/>
    <col min="1292" max="1292" width="8.59765625" style="5" customWidth="1"/>
    <col min="1293" max="1296" width="14.09765625" style="5" customWidth="1"/>
    <col min="1297" max="1297" width="8.59765625" style="5" customWidth="1"/>
    <col min="1298" max="1298" width="14.09765625" style="5" customWidth="1"/>
    <col min="1299" max="1299" width="8.59765625" style="5" customWidth="1"/>
    <col min="1300" max="1303" width="14.09765625" style="5" customWidth="1"/>
    <col min="1304" max="1304" width="8.59765625" style="5" customWidth="1"/>
    <col min="1305" max="1305" width="14.09765625" style="5" customWidth="1"/>
    <col min="1306" max="1306" width="8.59765625" style="5" customWidth="1"/>
    <col min="1307" max="1310" width="14.09765625" style="5" customWidth="1"/>
    <col min="1311" max="1311" width="21" style="5" customWidth="1"/>
    <col min="1312" max="1312" width="17.59765625" style="5" bestFit="1" customWidth="1"/>
    <col min="1313" max="1313" width="8.59765625" style="5" customWidth="1"/>
    <col min="1314" max="1314" width="14.09765625" style="5" customWidth="1"/>
    <col min="1315" max="1536" width="5.3984375" style="5"/>
    <col min="1537" max="1537" width="10" style="5" bestFit="1" customWidth="1"/>
    <col min="1538" max="1538" width="7.69921875" style="5" bestFit="1" customWidth="1"/>
    <col min="1539" max="1539" width="8.59765625" style="5" customWidth="1"/>
    <col min="1540" max="1540" width="14.09765625" style="5" customWidth="1"/>
    <col min="1541" max="1541" width="8.59765625" style="5" customWidth="1"/>
    <col min="1542" max="1545" width="14.09765625" style="5" customWidth="1"/>
    <col min="1546" max="1546" width="8.59765625" style="5" customWidth="1"/>
    <col min="1547" max="1547" width="14.09765625" style="5" customWidth="1"/>
    <col min="1548" max="1548" width="8.59765625" style="5" customWidth="1"/>
    <col min="1549" max="1552" width="14.09765625" style="5" customWidth="1"/>
    <col min="1553" max="1553" width="8.59765625" style="5" customWidth="1"/>
    <col min="1554" max="1554" width="14.09765625" style="5" customWidth="1"/>
    <col min="1555" max="1555" width="8.59765625" style="5" customWidth="1"/>
    <col min="1556" max="1559" width="14.09765625" style="5" customWidth="1"/>
    <col min="1560" max="1560" width="8.59765625" style="5" customWidth="1"/>
    <col min="1561" max="1561" width="14.09765625" style="5" customWidth="1"/>
    <col min="1562" max="1562" width="8.59765625" style="5" customWidth="1"/>
    <col min="1563" max="1566" width="14.09765625" style="5" customWidth="1"/>
    <col min="1567" max="1567" width="21" style="5" customWidth="1"/>
    <col min="1568" max="1568" width="17.59765625" style="5" bestFit="1" customWidth="1"/>
    <col min="1569" max="1569" width="8.59765625" style="5" customWidth="1"/>
    <col min="1570" max="1570" width="14.09765625" style="5" customWidth="1"/>
    <col min="1571" max="1792" width="5.3984375" style="5"/>
    <col min="1793" max="1793" width="10" style="5" bestFit="1" customWidth="1"/>
    <col min="1794" max="1794" width="7.69921875" style="5" bestFit="1" customWidth="1"/>
    <col min="1795" max="1795" width="8.59765625" style="5" customWidth="1"/>
    <col min="1796" max="1796" width="14.09765625" style="5" customWidth="1"/>
    <col min="1797" max="1797" width="8.59765625" style="5" customWidth="1"/>
    <col min="1798" max="1801" width="14.09765625" style="5" customWidth="1"/>
    <col min="1802" max="1802" width="8.59765625" style="5" customWidth="1"/>
    <col min="1803" max="1803" width="14.09765625" style="5" customWidth="1"/>
    <col min="1804" max="1804" width="8.59765625" style="5" customWidth="1"/>
    <col min="1805" max="1808" width="14.09765625" style="5" customWidth="1"/>
    <col min="1809" max="1809" width="8.59765625" style="5" customWidth="1"/>
    <col min="1810" max="1810" width="14.09765625" style="5" customWidth="1"/>
    <col min="1811" max="1811" width="8.59765625" style="5" customWidth="1"/>
    <col min="1812" max="1815" width="14.09765625" style="5" customWidth="1"/>
    <col min="1816" max="1816" width="8.59765625" style="5" customWidth="1"/>
    <col min="1817" max="1817" width="14.09765625" style="5" customWidth="1"/>
    <col min="1818" max="1818" width="8.59765625" style="5" customWidth="1"/>
    <col min="1819" max="1822" width="14.09765625" style="5" customWidth="1"/>
    <col min="1823" max="1823" width="21" style="5" customWidth="1"/>
    <col min="1824" max="1824" width="17.59765625" style="5" bestFit="1" customWidth="1"/>
    <col min="1825" max="1825" width="8.59765625" style="5" customWidth="1"/>
    <col min="1826" max="1826" width="14.09765625" style="5" customWidth="1"/>
    <col min="1827" max="2048" width="5.3984375" style="5"/>
    <col min="2049" max="2049" width="10" style="5" bestFit="1" customWidth="1"/>
    <col min="2050" max="2050" width="7.69921875" style="5" bestFit="1" customWidth="1"/>
    <col min="2051" max="2051" width="8.59765625" style="5" customWidth="1"/>
    <col min="2052" max="2052" width="14.09765625" style="5" customWidth="1"/>
    <col min="2053" max="2053" width="8.59765625" style="5" customWidth="1"/>
    <col min="2054" max="2057" width="14.09765625" style="5" customWidth="1"/>
    <col min="2058" max="2058" width="8.59765625" style="5" customWidth="1"/>
    <col min="2059" max="2059" width="14.09765625" style="5" customWidth="1"/>
    <col min="2060" max="2060" width="8.59765625" style="5" customWidth="1"/>
    <col min="2061" max="2064" width="14.09765625" style="5" customWidth="1"/>
    <col min="2065" max="2065" width="8.59765625" style="5" customWidth="1"/>
    <col min="2066" max="2066" width="14.09765625" style="5" customWidth="1"/>
    <col min="2067" max="2067" width="8.59765625" style="5" customWidth="1"/>
    <col min="2068" max="2071" width="14.09765625" style="5" customWidth="1"/>
    <col min="2072" max="2072" width="8.59765625" style="5" customWidth="1"/>
    <col min="2073" max="2073" width="14.09765625" style="5" customWidth="1"/>
    <col min="2074" max="2074" width="8.59765625" style="5" customWidth="1"/>
    <col min="2075" max="2078" width="14.09765625" style="5" customWidth="1"/>
    <col min="2079" max="2079" width="21" style="5" customWidth="1"/>
    <col min="2080" max="2080" width="17.59765625" style="5" bestFit="1" customWidth="1"/>
    <col min="2081" max="2081" width="8.59765625" style="5" customWidth="1"/>
    <col min="2082" max="2082" width="14.09765625" style="5" customWidth="1"/>
    <col min="2083" max="2304" width="5.3984375" style="5"/>
    <col min="2305" max="2305" width="10" style="5" bestFit="1" customWidth="1"/>
    <col min="2306" max="2306" width="7.69921875" style="5" bestFit="1" customWidth="1"/>
    <col min="2307" max="2307" width="8.59765625" style="5" customWidth="1"/>
    <col min="2308" max="2308" width="14.09765625" style="5" customWidth="1"/>
    <col min="2309" max="2309" width="8.59765625" style="5" customWidth="1"/>
    <col min="2310" max="2313" width="14.09765625" style="5" customWidth="1"/>
    <col min="2314" max="2314" width="8.59765625" style="5" customWidth="1"/>
    <col min="2315" max="2315" width="14.09765625" style="5" customWidth="1"/>
    <col min="2316" max="2316" width="8.59765625" style="5" customWidth="1"/>
    <col min="2317" max="2320" width="14.09765625" style="5" customWidth="1"/>
    <col min="2321" max="2321" width="8.59765625" style="5" customWidth="1"/>
    <col min="2322" max="2322" width="14.09765625" style="5" customWidth="1"/>
    <col min="2323" max="2323" width="8.59765625" style="5" customWidth="1"/>
    <col min="2324" max="2327" width="14.09765625" style="5" customWidth="1"/>
    <col min="2328" max="2328" width="8.59765625" style="5" customWidth="1"/>
    <col min="2329" max="2329" width="14.09765625" style="5" customWidth="1"/>
    <col min="2330" max="2330" width="8.59765625" style="5" customWidth="1"/>
    <col min="2331" max="2334" width="14.09765625" style="5" customWidth="1"/>
    <col min="2335" max="2335" width="21" style="5" customWidth="1"/>
    <col min="2336" max="2336" width="17.59765625" style="5" bestFit="1" customWidth="1"/>
    <col min="2337" max="2337" width="8.59765625" style="5" customWidth="1"/>
    <col min="2338" max="2338" width="14.09765625" style="5" customWidth="1"/>
    <col min="2339" max="2560" width="5.3984375" style="5"/>
    <col min="2561" max="2561" width="10" style="5" bestFit="1" customWidth="1"/>
    <col min="2562" max="2562" width="7.69921875" style="5" bestFit="1" customWidth="1"/>
    <col min="2563" max="2563" width="8.59765625" style="5" customWidth="1"/>
    <col min="2564" max="2564" width="14.09765625" style="5" customWidth="1"/>
    <col min="2565" max="2565" width="8.59765625" style="5" customWidth="1"/>
    <col min="2566" max="2569" width="14.09765625" style="5" customWidth="1"/>
    <col min="2570" max="2570" width="8.59765625" style="5" customWidth="1"/>
    <col min="2571" max="2571" width="14.09765625" style="5" customWidth="1"/>
    <col min="2572" max="2572" width="8.59765625" style="5" customWidth="1"/>
    <col min="2573" max="2576" width="14.09765625" style="5" customWidth="1"/>
    <col min="2577" max="2577" width="8.59765625" style="5" customWidth="1"/>
    <col min="2578" max="2578" width="14.09765625" style="5" customWidth="1"/>
    <col min="2579" max="2579" width="8.59765625" style="5" customWidth="1"/>
    <col min="2580" max="2583" width="14.09765625" style="5" customWidth="1"/>
    <col min="2584" max="2584" width="8.59765625" style="5" customWidth="1"/>
    <col min="2585" max="2585" width="14.09765625" style="5" customWidth="1"/>
    <col min="2586" max="2586" width="8.59765625" style="5" customWidth="1"/>
    <col min="2587" max="2590" width="14.09765625" style="5" customWidth="1"/>
    <col min="2591" max="2591" width="21" style="5" customWidth="1"/>
    <col min="2592" max="2592" width="17.59765625" style="5" bestFit="1" customWidth="1"/>
    <col min="2593" max="2593" width="8.59765625" style="5" customWidth="1"/>
    <col min="2594" max="2594" width="14.09765625" style="5" customWidth="1"/>
    <col min="2595" max="2816" width="5.3984375" style="5"/>
    <col min="2817" max="2817" width="10" style="5" bestFit="1" customWidth="1"/>
    <col min="2818" max="2818" width="7.69921875" style="5" bestFit="1" customWidth="1"/>
    <col min="2819" max="2819" width="8.59765625" style="5" customWidth="1"/>
    <col min="2820" max="2820" width="14.09765625" style="5" customWidth="1"/>
    <col min="2821" max="2821" width="8.59765625" style="5" customWidth="1"/>
    <col min="2822" max="2825" width="14.09765625" style="5" customWidth="1"/>
    <col min="2826" max="2826" width="8.59765625" style="5" customWidth="1"/>
    <col min="2827" max="2827" width="14.09765625" style="5" customWidth="1"/>
    <col min="2828" max="2828" width="8.59765625" style="5" customWidth="1"/>
    <col min="2829" max="2832" width="14.09765625" style="5" customWidth="1"/>
    <col min="2833" max="2833" width="8.59765625" style="5" customWidth="1"/>
    <col min="2834" max="2834" width="14.09765625" style="5" customWidth="1"/>
    <col min="2835" max="2835" width="8.59765625" style="5" customWidth="1"/>
    <col min="2836" max="2839" width="14.09765625" style="5" customWidth="1"/>
    <col min="2840" max="2840" width="8.59765625" style="5" customWidth="1"/>
    <col min="2841" max="2841" width="14.09765625" style="5" customWidth="1"/>
    <col min="2842" max="2842" width="8.59765625" style="5" customWidth="1"/>
    <col min="2843" max="2846" width="14.09765625" style="5" customWidth="1"/>
    <col min="2847" max="2847" width="21" style="5" customWidth="1"/>
    <col min="2848" max="2848" width="17.59765625" style="5" bestFit="1" customWidth="1"/>
    <col min="2849" max="2849" width="8.59765625" style="5" customWidth="1"/>
    <col min="2850" max="2850" width="14.09765625" style="5" customWidth="1"/>
    <col min="2851" max="3072" width="5.3984375" style="5"/>
    <col min="3073" max="3073" width="10" style="5" bestFit="1" customWidth="1"/>
    <col min="3074" max="3074" width="7.69921875" style="5" bestFit="1" customWidth="1"/>
    <col min="3075" max="3075" width="8.59765625" style="5" customWidth="1"/>
    <col min="3076" max="3076" width="14.09765625" style="5" customWidth="1"/>
    <col min="3077" max="3077" width="8.59765625" style="5" customWidth="1"/>
    <col min="3078" max="3081" width="14.09765625" style="5" customWidth="1"/>
    <col min="3082" max="3082" width="8.59765625" style="5" customWidth="1"/>
    <col min="3083" max="3083" width="14.09765625" style="5" customWidth="1"/>
    <col min="3084" max="3084" width="8.59765625" style="5" customWidth="1"/>
    <col min="3085" max="3088" width="14.09765625" style="5" customWidth="1"/>
    <col min="3089" max="3089" width="8.59765625" style="5" customWidth="1"/>
    <col min="3090" max="3090" width="14.09765625" style="5" customWidth="1"/>
    <col min="3091" max="3091" width="8.59765625" style="5" customWidth="1"/>
    <col min="3092" max="3095" width="14.09765625" style="5" customWidth="1"/>
    <col min="3096" max="3096" width="8.59765625" style="5" customWidth="1"/>
    <col min="3097" max="3097" width="14.09765625" style="5" customWidth="1"/>
    <col min="3098" max="3098" width="8.59765625" style="5" customWidth="1"/>
    <col min="3099" max="3102" width="14.09765625" style="5" customWidth="1"/>
    <col min="3103" max="3103" width="21" style="5" customWidth="1"/>
    <col min="3104" max="3104" width="17.59765625" style="5" bestFit="1" customWidth="1"/>
    <col min="3105" max="3105" width="8.59765625" style="5" customWidth="1"/>
    <col min="3106" max="3106" width="14.09765625" style="5" customWidth="1"/>
    <col min="3107" max="3328" width="5.3984375" style="5"/>
    <col min="3329" max="3329" width="10" style="5" bestFit="1" customWidth="1"/>
    <col min="3330" max="3330" width="7.69921875" style="5" bestFit="1" customWidth="1"/>
    <col min="3331" max="3331" width="8.59765625" style="5" customWidth="1"/>
    <col min="3332" max="3332" width="14.09765625" style="5" customWidth="1"/>
    <col min="3333" max="3333" width="8.59765625" style="5" customWidth="1"/>
    <col min="3334" max="3337" width="14.09765625" style="5" customWidth="1"/>
    <col min="3338" max="3338" width="8.59765625" style="5" customWidth="1"/>
    <col min="3339" max="3339" width="14.09765625" style="5" customWidth="1"/>
    <col min="3340" max="3340" width="8.59765625" style="5" customWidth="1"/>
    <col min="3341" max="3344" width="14.09765625" style="5" customWidth="1"/>
    <col min="3345" max="3345" width="8.59765625" style="5" customWidth="1"/>
    <col min="3346" max="3346" width="14.09765625" style="5" customWidth="1"/>
    <col min="3347" max="3347" width="8.59765625" style="5" customWidth="1"/>
    <col min="3348" max="3351" width="14.09765625" style="5" customWidth="1"/>
    <col min="3352" max="3352" width="8.59765625" style="5" customWidth="1"/>
    <col min="3353" max="3353" width="14.09765625" style="5" customWidth="1"/>
    <col min="3354" max="3354" width="8.59765625" style="5" customWidth="1"/>
    <col min="3355" max="3358" width="14.09765625" style="5" customWidth="1"/>
    <col min="3359" max="3359" width="21" style="5" customWidth="1"/>
    <col min="3360" max="3360" width="17.59765625" style="5" bestFit="1" customWidth="1"/>
    <col min="3361" max="3361" width="8.59765625" style="5" customWidth="1"/>
    <col min="3362" max="3362" width="14.09765625" style="5" customWidth="1"/>
    <col min="3363" max="3584" width="5.3984375" style="5"/>
    <col min="3585" max="3585" width="10" style="5" bestFit="1" customWidth="1"/>
    <col min="3586" max="3586" width="7.69921875" style="5" bestFit="1" customWidth="1"/>
    <col min="3587" max="3587" width="8.59765625" style="5" customWidth="1"/>
    <col min="3588" max="3588" width="14.09765625" style="5" customWidth="1"/>
    <col min="3589" max="3589" width="8.59765625" style="5" customWidth="1"/>
    <col min="3590" max="3593" width="14.09765625" style="5" customWidth="1"/>
    <col min="3594" max="3594" width="8.59765625" style="5" customWidth="1"/>
    <col min="3595" max="3595" width="14.09765625" style="5" customWidth="1"/>
    <col min="3596" max="3596" width="8.59765625" style="5" customWidth="1"/>
    <col min="3597" max="3600" width="14.09765625" style="5" customWidth="1"/>
    <col min="3601" max="3601" width="8.59765625" style="5" customWidth="1"/>
    <col min="3602" max="3602" width="14.09765625" style="5" customWidth="1"/>
    <col min="3603" max="3603" width="8.59765625" style="5" customWidth="1"/>
    <col min="3604" max="3607" width="14.09765625" style="5" customWidth="1"/>
    <col min="3608" max="3608" width="8.59765625" style="5" customWidth="1"/>
    <col min="3609" max="3609" width="14.09765625" style="5" customWidth="1"/>
    <col min="3610" max="3610" width="8.59765625" style="5" customWidth="1"/>
    <col min="3611" max="3614" width="14.09765625" style="5" customWidth="1"/>
    <col min="3615" max="3615" width="21" style="5" customWidth="1"/>
    <col min="3616" max="3616" width="17.59765625" style="5" bestFit="1" customWidth="1"/>
    <col min="3617" max="3617" width="8.59765625" style="5" customWidth="1"/>
    <col min="3618" max="3618" width="14.09765625" style="5" customWidth="1"/>
    <col min="3619" max="3840" width="5.3984375" style="5"/>
    <col min="3841" max="3841" width="10" style="5" bestFit="1" customWidth="1"/>
    <col min="3842" max="3842" width="7.69921875" style="5" bestFit="1" customWidth="1"/>
    <col min="3843" max="3843" width="8.59765625" style="5" customWidth="1"/>
    <col min="3844" max="3844" width="14.09765625" style="5" customWidth="1"/>
    <col min="3845" max="3845" width="8.59765625" style="5" customWidth="1"/>
    <col min="3846" max="3849" width="14.09765625" style="5" customWidth="1"/>
    <col min="3850" max="3850" width="8.59765625" style="5" customWidth="1"/>
    <col min="3851" max="3851" width="14.09765625" style="5" customWidth="1"/>
    <col min="3852" max="3852" width="8.59765625" style="5" customWidth="1"/>
    <col min="3853" max="3856" width="14.09765625" style="5" customWidth="1"/>
    <col min="3857" max="3857" width="8.59765625" style="5" customWidth="1"/>
    <col min="3858" max="3858" width="14.09765625" style="5" customWidth="1"/>
    <col min="3859" max="3859" width="8.59765625" style="5" customWidth="1"/>
    <col min="3860" max="3863" width="14.09765625" style="5" customWidth="1"/>
    <col min="3864" max="3864" width="8.59765625" style="5" customWidth="1"/>
    <col min="3865" max="3865" width="14.09765625" style="5" customWidth="1"/>
    <col min="3866" max="3866" width="8.59765625" style="5" customWidth="1"/>
    <col min="3867" max="3870" width="14.09765625" style="5" customWidth="1"/>
    <col min="3871" max="3871" width="21" style="5" customWidth="1"/>
    <col min="3872" max="3872" width="17.59765625" style="5" bestFit="1" customWidth="1"/>
    <col min="3873" max="3873" width="8.59765625" style="5" customWidth="1"/>
    <col min="3874" max="3874" width="14.09765625" style="5" customWidth="1"/>
    <col min="3875" max="4096" width="5.3984375" style="5"/>
    <col min="4097" max="4097" width="10" style="5" bestFit="1" customWidth="1"/>
    <col min="4098" max="4098" width="7.69921875" style="5" bestFit="1" customWidth="1"/>
    <col min="4099" max="4099" width="8.59765625" style="5" customWidth="1"/>
    <col min="4100" max="4100" width="14.09765625" style="5" customWidth="1"/>
    <col min="4101" max="4101" width="8.59765625" style="5" customWidth="1"/>
    <col min="4102" max="4105" width="14.09765625" style="5" customWidth="1"/>
    <col min="4106" max="4106" width="8.59765625" style="5" customWidth="1"/>
    <col min="4107" max="4107" width="14.09765625" style="5" customWidth="1"/>
    <col min="4108" max="4108" width="8.59765625" style="5" customWidth="1"/>
    <col min="4109" max="4112" width="14.09765625" style="5" customWidth="1"/>
    <col min="4113" max="4113" width="8.59765625" style="5" customWidth="1"/>
    <col min="4114" max="4114" width="14.09765625" style="5" customWidth="1"/>
    <col min="4115" max="4115" width="8.59765625" style="5" customWidth="1"/>
    <col min="4116" max="4119" width="14.09765625" style="5" customWidth="1"/>
    <col min="4120" max="4120" width="8.59765625" style="5" customWidth="1"/>
    <col min="4121" max="4121" width="14.09765625" style="5" customWidth="1"/>
    <col min="4122" max="4122" width="8.59765625" style="5" customWidth="1"/>
    <col min="4123" max="4126" width="14.09765625" style="5" customWidth="1"/>
    <col min="4127" max="4127" width="21" style="5" customWidth="1"/>
    <col min="4128" max="4128" width="17.59765625" style="5" bestFit="1" customWidth="1"/>
    <col min="4129" max="4129" width="8.59765625" style="5" customWidth="1"/>
    <col min="4130" max="4130" width="14.09765625" style="5" customWidth="1"/>
    <col min="4131" max="4352" width="5.3984375" style="5"/>
    <col min="4353" max="4353" width="10" style="5" bestFit="1" customWidth="1"/>
    <col min="4354" max="4354" width="7.69921875" style="5" bestFit="1" customWidth="1"/>
    <col min="4355" max="4355" width="8.59765625" style="5" customWidth="1"/>
    <col min="4356" max="4356" width="14.09765625" style="5" customWidth="1"/>
    <col min="4357" max="4357" width="8.59765625" style="5" customWidth="1"/>
    <col min="4358" max="4361" width="14.09765625" style="5" customWidth="1"/>
    <col min="4362" max="4362" width="8.59765625" style="5" customWidth="1"/>
    <col min="4363" max="4363" width="14.09765625" style="5" customWidth="1"/>
    <col min="4364" max="4364" width="8.59765625" style="5" customWidth="1"/>
    <col min="4365" max="4368" width="14.09765625" style="5" customWidth="1"/>
    <col min="4369" max="4369" width="8.59765625" style="5" customWidth="1"/>
    <col min="4370" max="4370" width="14.09765625" style="5" customWidth="1"/>
    <col min="4371" max="4371" width="8.59765625" style="5" customWidth="1"/>
    <col min="4372" max="4375" width="14.09765625" style="5" customWidth="1"/>
    <col min="4376" max="4376" width="8.59765625" style="5" customWidth="1"/>
    <col min="4377" max="4377" width="14.09765625" style="5" customWidth="1"/>
    <col min="4378" max="4378" width="8.59765625" style="5" customWidth="1"/>
    <col min="4379" max="4382" width="14.09765625" style="5" customWidth="1"/>
    <col min="4383" max="4383" width="21" style="5" customWidth="1"/>
    <col min="4384" max="4384" width="17.59765625" style="5" bestFit="1" customWidth="1"/>
    <col min="4385" max="4385" width="8.59765625" style="5" customWidth="1"/>
    <col min="4386" max="4386" width="14.09765625" style="5" customWidth="1"/>
    <col min="4387" max="4608" width="5.3984375" style="5"/>
    <col min="4609" max="4609" width="10" style="5" bestFit="1" customWidth="1"/>
    <col min="4610" max="4610" width="7.69921875" style="5" bestFit="1" customWidth="1"/>
    <col min="4611" max="4611" width="8.59765625" style="5" customWidth="1"/>
    <col min="4612" max="4612" width="14.09765625" style="5" customWidth="1"/>
    <col min="4613" max="4613" width="8.59765625" style="5" customWidth="1"/>
    <col min="4614" max="4617" width="14.09765625" style="5" customWidth="1"/>
    <col min="4618" max="4618" width="8.59765625" style="5" customWidth="1"/>
    <col min="4619" max="4619" width="14.09765625" style="5" customWidth="1"/>
    <col min="4620" max="4620" width="8.59765625" style="5" customWidth="1"/>
    <col min="4621" max="4624" width="14.09765625" style="5" customWidth="1"/>
    <col min="4625" max="4625" width="8.59765625" style="5" customWidth="1"/>
    <col min="4626" max="4626" width="14.09765625" style="5" customWidth="1"/>
    <col min="4627" max="4627" width="8.59765625" style="5" customWidth="1"/>
    <col min="4628" max="4631" width="14.09765625" style="5" customWidth="1"/>
    <col min="4632" max="4632" width="8.59765625" style="5" customWidth="1"/>
    <col min="4633" max="4633" width="14.09765625" style="5" customWidth="1"/>
    <col min="4634" max="4634" width="8.59765625" style="5" customWidth="1"/>
    <col min="4635" max="4638" width="14.09765625" style="5" customWidth="1"/>
    <col min="4639" max="4639" width="21" style="5" customWidth="1"/>
    <col min="4640" max="4640" width="17.59765625" style="5" bestFit="1" customWidth="1"/>
    <col min="4641" max="4641" width="8.59765625" style="5" customWidth="1"/>
    <col min="4642" max="4642" width="14.09765625" style="5" customWidth="1"/>
    <col min="4643" max="4864" width="5.3984375" style="5"/>
    <col min="4865" max="4865" width="10" style="5" bestFit="1" customWidth="1"/>
    <col min="4866" max="4866" width="7.69921875" style="5" bestFit="1" customWidth="1"/>
    <col min="4867" max="4867" width="8.59765625" style="5" customWidth="1"/>
    <col min="4868" max="4868" width="14.09765625" style="5" customWidth="1"/>
    <col min="4869" max="4869" width="8.59765625" style="5" customWidth="1"/>
    <col min="4870" max="4873" width="14.09765625" style="5" customWidth="1"/>
    <col min="4874" max="4874" width="8.59765625" style="5" customWidth="1"/>
    <col min="4875" max="4875" width="14.09765625" style="5" customWidth="1"/>
    <col min="4876" max="4876" width="8.59765625" style="5" customWidth="1"/>
    <col min="4877" max="4880" width="14.09765625" style="5" customWidth="1"/>
    <col min="4881" max="4881" width="8.59765625" style="5" customWidth="1"/>
    <col min="4882" max="4882" width="14.09765625" style="5" customWidth="1"/>
    <col min="4883" max="4883" width="8.59765625" style="5" customWidth="1"/>
    <col min="4884" max="4887" width="14.09765625" style="5" customWidth="1"/>
    <col min="4888" max="4888" width="8.59765625" style="5" customWidth="1"/>
    <col min="4889" max="4889" width="14.09765625" style="5" customWidth="1"/>
    <col min="4890" max="4890" width="8.59765625" style="5" customWidth="1"/>
    <col min="4891" max="4894" width="14.09765625" style="5" customWidth="1"/>
    <col min="4895" max="4895" width="21" style="5" customWidth="1"/>
    <col min="4896" max="4896" width="17.59765625" style="5" bestFit="1" customWidth="1"/>
    <col min="4897" max="4897" width="8.59765625" style="5" customWidth="1"/>
    <col min="4898" max="4898" width="14.09765625" style="5" customWidth="1"/>
    <col min="4899" max="5120" width="5.3984375" style="5"/>
    <col min="5121" max="5121" width="10" style="5" bestFit="1" customWidth="1"/>
    <col min="5122" max="5122" width="7.69921875" style="5" bestFit="1" customWidth="1"/>
    <col min="5123" max="5123" width="8.59765625" style="5" customWidth="1"/>
    <col min="5124" max="5124" width="14.09765625" style="5" customWidth="1"/>
    <col min="5125" max="5125" width="8.59765625" style="5" customWidth="1"/>
    <col min="5126" max="5129" width="14.09765625" style="5" customWidth="1"/>
    <col min="5130" max="5130" width="8.59765625" style="5" customWidth="1"/>
    <col min="5131" max="5131" width="14.09765625" style="5" customWidth="1"/>
    <col min="5132" max="5132" width="8.59765625" style="5" customWidth="1"/>
    <col min="5133" max="5136" width="14.09765625" style="5" customWidth="1"/>
    <col min="5137" max="5137" width="8.59765625" style="5" customWidth="1"/>
    <col min="5138" max="5138" width="14.09765625" style="5" customWidth="1"/>
    <col min="5139" max="5139" width="8.59765625" style="5" customWidth="1"/>
    <col min="5140" max="5143" width="14.09765625" style="5" customWidth="1"/>
    <col min="5144" max="5144" width="8.59765625" style="5" customWidth="1"/>
    <col min="5145" max="5145" width="14.09765625" style="5" customWidth="1"/>
    <col min="5146" max="5146" width="8.59765625" style="5" customWidth="1"/>
    <col min="5147" max="5150" width="14.09765625" style="5" customWidth="1"/>
    <col min="5151" max="5151" width="21" style="5" customWidth="1"/>
    <col min="5152" max="5152" width="17.59765625" style="5" bestFit="1" customWidth="1"/>
    <col min="5153" max="5153" width="8.59765625" style="5" customWidth="1"/>
    <col min="5154" max="5154" width="14.09765625" style="5" customWidth="1"/>
    <col min="5155" max="5376" width="5.3984375" style="5"/>
    <col min="5377" max="5377" width="10" style="5" bestFit="1" customWidth="1"/>
    <col min="5378" max="5378" width="7.69921875" style="5" bestFit="1" customWidth="1"/>
    <col min="5379" max="5379" width="8.59765625" style="5" customWidth="1"/>
    <col min="5380" max="5380" width="14.09765625" style="5" customWidth="1"/>
    <col min="5381" max="5381" width="8.59765625" style="5" customWidth="1"/>
    <col min="5382" max="5385" width="14.09765625" style="5" customWidth="1"/>
    <col min="5386" max="5386" width="8.59765625" style="5" customWidth="1"/>
    <col min="5387" max="5387" width="14.09765625" style="5" customWidth="1"/>
    <col min="5388" max="5388" width="8.59765625" style="5" customWidth="1"/>
    <col min="5389" max="5392" width="14.09765625" style="5" customWidth="1"/>
    <col min="5393" max="5393" width="8.59765625" style="5" customWidth="1"/>
    <col min="5394" max="5394" width="14.09765625" style="5" customWidth="1"/>
    <col min="5395" max="5395" width="8.59765625" style="5" customWidth="1"/>
    <col min="5396" max="5399" width="14.09765625" style="5" customWidth="1"/>
    <col min="5400" max="5400" width="8.59765625" style="5" customWidth="1"/>
    <col min="5401" max="5401" width="14.09765625" style="5" customWidth="1"/>
    <col min="5402" max="5402" width="8.59765625" style="5" customWidth="1"/>
    <col min="5403" max="5406" width="14.09765625" style="5" customWidth="1"/>
    <col min="5407" max="5407" width="21" style="5" customWidth="1"/>
    <col min="5408" max="5408" width="17.59765625" style="5" bestFit="1" customWidth="1"/>
    <col min="5409" max="5409" width="8.59765625" style="5" customWidth="1"/>
    <col min="5410" max="5410" width="14.09765625" style="5" customWidth="1"/>
    <col min="5411" max="5632" width="5.3984375" style="5"/>
    <col min="5633" max="5633" width="10" style="5" bestFit="1" customWidth="1"/>
    <col min="5634" max="5634" width="7.69921875" style="5" bestFit="1" customWidth="1"/>
    <col min="5635" max="5635" width="8.59765625" style="5" customWidth="1"/>
    <col min="5636" max="5636" width="14.09765625" style="5" customWidth="1"/>
    <col min="5637" max="5637" width="8.59765625" style="5" customWidth="1"/>
    <col min="5638" max="5641" width="14.09765625" style="5" customWidth="1"/>
    <col min="5642" max="5642" width="8.59765625" style="5" customWidth="1"/>
    <col min="5643" max="5643" width="14.09765625" style="5" customWidth="1"/>
    <col min="5644" max="5644" width="8.59765625" style="5" customWidth="1"/>
    <col min="5645" max="5648" width="14.09765625" style="5" customWidth="1"/>
    <col min="5649" max="5649" width="8.59765625" style="5" customWidth="1"/>
    <col min="5650" max="5650" width="14.09765625" style="5" customWidth="1"/>
    <col min="5651" max="5651" width="8.59765625" style="5" customWidth="1"/>
    <col min="5652" max="5655" width="14.09765625" style="5" customWidth="1"/>
    <col min="5656" max="5656" width="8.59765625" style="5" customWidth="1"/>
    <col min="5657" max="5657" width="14.09765625" style="5" customWidth="1"/>
    <col min="5658" max="5658" width="8.59765625" style="5" customWidth="1"/>
    <col min="5659" max="5662" width="14.09765625" style="5" customWidth="1"/>
    <col min="5663" max="5663" width="21" style="5" customWidth="1"/>
    <col min="5664" max="5664" width="17.59765625" style="5" bestFit="1" customWidth="1"/>
    <col min="5665" max="5665" width="8.59765625" style="5" customWidth="1"/>
    <col min="5666" max="5666" width="14.09765625" style="5" customWidth="1"/>
    <col min="5667" max="5888" width="5.3984375" style="5"/>
    <col min="5889" max="5889" width="10" style="5" bestFit="1" customWidth="1"/>
    <col min="5890" max="5890" width="7.69921875" style="5" bestFit="1" customWidth="1"/>
    <col min="5891" max="5891" width="8.59765625" style="5" customWidth="1"/>
    <col min="5892" max="5892" width="14.09765625" style="5" customWidth="1"/>
    <col min="5893" max="5893" width="8.59765625" style="5" customWidth="1"/>
    <col min="5894" max="5897" width="14.09765625" style="5" customWidth="1"/>
    <col min="5898" max="5898" width="8.59765625" style="5" customWidth="1"/>
    <col min="5899" max="5899" width="14.09765625" style="5" customWidth="1"/>
    <col min="5900" max="5900" width="8.59765625" style="5" customWidth="1"/>
    <col min="5901" max="5904" width="14.09765625" style="5" customWidth="1"/>
    <col min="5905" max="5905" width="8.59765625" style="5" customWidth="1"/>
    <col min="5906" max="5906" width="14.09765625" style="5" customWidth="1"/>
    <col min="5907" max="5907" width="8.59765625" style="5" customWidth="1"/>
    <col min="5908" max="5911" width="14.09765625" style="5" customWidth="1"/>
    <col min="5912" max="5912" width="8.59765625" style="5" customWidth="1"/>
    <col min="5913" max="5913" width="14.09765625" style="5" customWidth="1"/>
    <col min="5914" max="5914" width="8.59765625" style="5" customWidth="1"/>
    <col min="5915" max="5918" width="14.09765625" style="5" customWidth="1"/>
    <col min="5919" max="5919" width="21" style="5" customWidth="1"/>
    <col min="5920" max="5920" width="17.59765625" style="5" bestFit="1" customWidth="1"/>
    <col min="5921" max="5921" width="8.59765625" style="5" customWidth="1"/>
    <col min="5922" max="5922" width="14.09765625" style="5" customWidth="1"/>
    <col min="5923" max="6144" width="5.3984375" style="5"/>
    <col min="6145" max="6145" width="10" style="5" bestFit="1" customWidth="1"/>
    <col min="6146" max="6146" width="7.69921875" style="5" bestFit="1" customWidth="1"/>
    <col min="6147" max="6147" width="8.59765625" style="5" customWidth="1"/>
    <col min="6148" max="6148" width="14.09765625" style="5" customWidth="1"/>
    <col min="6149" max="6149" width="8.59765625" style="5" customWidth="1"/>
    <col min="6150" max="6153" width="14.09765625" style="5" customWidth="1"/>
    <col min="6154" max="6154" width="8.59765625" style="5" customWidth="1"/>
    <col min="6155" max="6155" width="14.09765625" style="5" customWidth="1"/>
    <col min="6156" max="6156" width="8.59765625" style="5" customWidth="1"/>
    <col min="6157" max="6160" width="14.09765625" style="5" customWidth="1"/>
    <col min="6161" max="6161" width="8.59765625" style="5" customWidth="1"/>
    <col min="6162" max="6162" width="14.09765625" style="5" customWidth="1"/>
    <col min="6163" max="6163" width="8.59765625" style="5" customWidth="1"/>
    <col min="6164" max="6167" width="14.09765625" style="5" customWidth="1"/>
    <col min="6168" max="6168" width="8.59765625" style="5" customWidth="1"/>
    <col min="6169" max="6169" width="14.09765625" style="5" customWidth="1"/>
    <col min="6170" max="6170" width="8.59765625" style="5" customWidth="1"/>
    <col min="6171" max="6174" width="14.09765625" style="5" customWidth="1"/>
    <col min="6175" max="6175" width="21" style="5" customWidth="1"/>
    <col min="6176" max="6176" width="17.59765625" style="5" bestFit="1" customWidth="1"/>
    <col min="6177" max="6177" width="8.59765625" style="5" customWidth="1"/>
    <col min="6178" max="6178" width="14.09765625" style="5" customWidth="1"/>
    <col min="6179" max="6400" width="5.3984375" style="5"/>
    <col min="6401" max="6401" width="10" style="5" bestFit="1" customWidth="1"/>
    <col min="6402" max="6402" width="7.69921875" style="5" bestFit="1" customWidth="1"/>
    <col min="6403" max="6403" width="8.59765625" style="5" customWidth="1"/>
    <col min="6404" max="6404" width="14.09765625" style="5" customWidth="1"/>
    <col min="6405" max="6405" width="8.59765625" style="5" customWidth="1"/>
    <col min="6406" max="6409" width="14.09765625" style="5" customWidth="1"/>
    <col min="6410" max="6410" width="8.59765625" style="5" customWidth="1"/>
    <col min="6411" max="6411" width="14.09765625" style="5" customWidth="1"/>
    <col min="6412" max="6412" width="8.59765625" style="5" customWidth="1"/>
    <col min="6413" max="6416" width="14.09765625" style="5" customWidth="1"/>
    <col min="6417" max="6417" width="8.59765625" style="5" customWidth="1"/>
    <col min="6418" max="6418" width="14.09765625" style="5" customWidth="1"/>
    <col min="6419" max="6419" width="8.59765625" style="5" customWidth="1"/>
    <col min="6420" max="6423" width="14.09765625" style="5" customWidth="1"/>
    <col min="6424" max="6424" width="8.59765625" style="5" customWidth="1"/>
    <col min="6425" max="6425" width="14.09765625" style="5" customWidth="1"/>
    <col min="6426" max="6426" width="8.59765625" style="5" customWidth="1"/>
    <col min="6427" max="6430" width="14.09765625" style="5" customWidth="1"/>
    <col min="6431" max="6431" width="21" style="5" customWidth="1"/>
    <col min="6432" max="6432" width="17.59765625" style="5" bestFit="1" customWidth="1"/>
    <col min="6433" max="6433" width="8.59765625" style="5" customWidth="1"/>
    <col min="6434" max="6434" width="14.09765625" style="5" customWidth="1"/>
    <col min="6435" max="6656" width="5.3984375" style="5"/>
    <col min="6657" max="6657" width="10" style="5" bestFit="1" customWidth="1"/>
    <col min="6658" max="6658" width="7.69921875" style="5" bestFit="1" customWidth="1"/>
    <col min="6659" max="6659" width="8.59765625" style="5" customWidth="1"/>
    <col min="6660" max="6660" width="14.09765625" style="5" customWidth="1"/>
    <col min="6661" max="6661" width="8.59765625" style="5" customWidth="1"/>
    <col min="6662" max="6665" width="14.09765625" style="5" customWidth="1"/>
    <col min="6666" max="6666" width="8.59765625" style="5" customWidth="1"/>
    <col min="6667" max="6667" width="14.09765625" style="5" customWidth="1"/>
    <col min="6668" max="6668" width="8.59765625" style="5" customWidth="1"/>
    <col min="6669" max="6672" width="14.09765625" style="5" customWidth="1"/>
    <col min="6673" max="6673" width="8.59765625" style="5" customWidth="1"/>
    <col min="6674" max="6674" width="14.09765625" style="5" customWidth="1"/>
    <col min="6675" max="6675" width="8.59765625" style="5" customWidth="1"/>
    <col min="6676" max="6679" width="14.09765625" style="5" customWidth="1"/>
    <col min="6680" max="6680" width="8.59765625" style="5" customWidth="1"/>
    <col min="6681" max="6681" width="14.09765625" style="5" customWidth="1"/>
    <col min="6682" max="6682" width="8.59765625" style="5" customWidth="1"/>
    <col min="6683" max="6686" width="14.09765625" style="5" customWidth="1"/>
    <col min="6687" max="6687" width="21" style="5" customWidth="1"/>
    <col min="6688" max="6688" width="17.59765625" style="5" bestFit="1" customWidth="1"/>
    <col min="6689" max="6689" width="8.59765625" style="5" customWidth="1"/>
    <col min="6690" max="6690" width="14.09765625" style="5" customWidth="1"/>
    <col min="6691" max="6912" width="5.3984375" style="5"/>
    <col min="6913" max="6913" width="10" style="5" bestFit="1" customWidth="1"/>
    <col min="6914" max="6914" width="7.69921875" style="5" bestFit="1" customWidth="1"/>
    <col min="6915" max="6915" width="8.59765625" style="5" customWidth="1"/>
    <col min="6916" max="6916" width="14.09765625" style="5" customWidth="1"/>
    <col min="6917" max="6917" width="8.59765625" style="5" customWidth="1"/>
    <col min="6918" max="6921" width="14.09765625" style="5" customWidth="1"/>
    <col min="6922" max="6922" width="8.59765625" style="5" customWidth="1"/>
    <col min="6923" max="6923" width="14.09765625" style="5" customWidth="1"/>
    <col min="6924" max="6924" width="8.59765625" style="5" customWidth="1"/>
    <col min="6925" max="6928" width="14.09765625" style="5" customWidth="1"/>
    <col min="6929" max="6929" width="8.59765625" style="5" customWidth="1"/>
    <col min="6930" max="6930" width="14.09765625" style="5" customWidth="1"/>
    <col min="6931" max="6931" width="8.59765625" style="5" customWidth="1"/>
    <col min="6932" max="6935" width="14.09765625" style="5" customWidth="1"/>
    <col min="6936" max="6936" width="8.59765625" style="5" customWidth="1"/>
    <col min="6937" max="6937" width="14.09765625" style="5" customWidth="1"/>
    <col min="6938" max="6938" width="8.59765625" style="5" customWidth="1"/>
    <col min="6939" max="6942" width="14.09765625" style="5" customWidth="1"/>
    <col min="6943" max="6943" width="21" style="5" customWidth="1"/>
    <col min="6944" max="6944" width="17.59765625" style="5" bestFit="1" customWidth="1"/>
    <col min="6945" max="6945" width="8.59765625" style="5" customWidth="1"/>
    <col min="6946" max="6946" width="14.09765625" style="5" customWidth="1"/>
    <col min="6947" max="7168" width="5.3984375" style="5"/>
    <col min="7169" max="7169" width="10" style="5" bestFit="1" customWidth="1"/>
    <col min="7170" max="7170" width="7.69921875" style="5" bestFit="1" customWidth="1"/>
    <col min="7171" max="7171" width="8.59765625" style="5" customWidth="1"/>
    <col min="7172" max="7172" width="14.09765625" style="5" customWidth="1"/>
    <col min="7173" max="7173" width="8.59765625" style="5" customWidth="1"/>
    <col min="7174" max="7177" width="14.09765625" style="5" customWidth="1"/>
    <col min="7178" max="7178" width="8.59765625" style="5" customWidth="1"/>
    <col min="7179" max="7179" width="14.09765625" style="5" customWidth="1"/>
    <col min="7180" max="7180" width="8.59765625" style="5" customWidth="1"/>
    <col min="7181" max="7184" width="14.09765625" style="5" customWidth="1"/>
    <col min="7185" max="7185" width="8.59765625" style="5" customWidth="1"/>
    <col min="7186" max="7186" width="14.09765625" style="5" customWidth="1"/>
    <col min="7187" max="7187" width="8.59765625" style="5" customWidth="1"/>
    <col min="7188" max="7191" width="14.09765625" style="5" customWidth="1"/>
    <col min="7192" max="7192" width="8.59765625" style="5" customWidth="1"/>
    <col min="7193" max="7193" width="14.09765625" style="5" customWidth="1"/>
    <col min="7194" max="7194" width="8.59765625" style="5" customWidth="1"/>
    <col min="7195" max="7198" width="14.09765625" style="5" customWidth="1"/>
    <col min="7199" max="7199" width="21" style="5" customWidth="1"/>
    <col min="7200" max="7200" width="17.59765625" style="5" bestFit="1" customWidth="1"/>
    <col min="7201" max="7201" width="8.59765625" style="5" customWidth="1"/>
    <col min="7202" max="7202" width="14.09765625" style="5" customWidth="1"/>
    <col min="7203" max="7424" width="5.3984375" style="5"/>
    <col min="7425" max="7425" width="10" style="5" bestFit="1" customWidth="1"/>
    <col min="7426" max="7426" width="7.69921875" style="5" bestFit="1" customWidth="1"/>
    <col min="7427" max="7427" width="8.59765625" style="5" customWidth="1"/>
    <col min="7428" max="7428" width="14.09765625" style="5" customWidth="1"/>
    <col min="7429" max="7429" width="8.59765625" style="5" customWidth="1"/>
    <col min="7430" max="7433" width="14.09765625" style="5" customWidth="1"/>
    <col min="7434" max="7434" width="8.59765625" style="5" customWidth="1"/>
    <col min="7435" max="7435" width="14.09765625" style="5" customWidth="1"/>
    <col min="7436" max="7436" width="8.59765625" style="5" customWidth="1"/>
    <col min="7437" max="7440" width="14.09765625" style="5" customWidth="1"/>
    <col min="7441" max="7441" width="8.59765625" style="5" customWidth="1"/>
    <col min="7442" max="7442" width="14.09765625" style="5" customWidth="1"/>
    <col min="7443" max="7443" width="8.59765625" style="5" customWidth="1"/>
    <col min="7444" max="7447" width="14.09765625" style="5" customWidth="1"/>
    <col min="7448" max="7448" width="8.59765625" style="5" customWidth="1"/>
    <col min="7449" max="7449" width="14.09765625" style="5" customWidth="1"/>
    <col min="7450" max="7450" width="8.59765625" style="5" customWidth="1"/>
    <col min="7451" max="7454" width="14.09765625" style="5" customWidth="1"/>
    <col min="7455" max="7455" width="21" style="5" customWidth="1"/>
    <col min="7456" max="7456" width="17.59765625" style="5" bestFit="1" customWidth="1"/>
    <col min="7457" max="7457" width="8.59765625" style="5" customWidth="1"/>
    <col min="7458" max="7458" width="14.09765625" style="5" customWidth="1"/>
    <col min="7459" max="7680" width="5.3984375" style="5"/>
    <col min="7681" max="7681" width="10" style="5" bestFit="1" customWidth="1"/>
    <col min="7682" max="7682" width="7.69921875" style="5" bestFit="1" customWidth="1"/>
    <col min="7683" max="7683" width="8.59765625" style="5" customWidth="1"/>
    <col min="7684" max="7684" width="14.09765625" style="5" customWidth="1"/>
    <col min="7685" max="7685" width="8.59765625" style="5" customWidth="1"/>
    <col min="7686" max="7689" width="14.09765625" style="5" customWidth="1"/>
    <col min="7690" max="7690" width="8.59765625" style="5" customWidth="1"/>
    <col min="7691" max="7691" width="14.09765625" style="5" customWidth="1"/>
    <col min="7692" max="7692" width="8.59765625" style="5" customWidth="1"/>
    <col min="7693" max="7696" width="14.09765625" style="5" customWidth="1"/>
    <col min="7697" max="7697" width="8.59765625" style="5" customWidth="1"/>
    <col min="7698" max="7698" width="14.09765625" style="5" customWidth="1"/>
    <col min="7699" max="7699" width="8.59765625" style="5" customWidth="1"/>
    <col min="7700" max="7703" width="14.09765625" style="5" customWidth="1"/>
    <col min="7704" max="7704" width="8.59765625" style="5" customWidth="1"/>
    <col min="7705" max="7705" width="14.09765625" style="5" customWidth="1"/>
    <col min="7706" max="7706" width="8.59765625" style="5" customWidth="1"/>
    <col min="7707" max="7710" width="14.09765625" style="5" customWidth="1"/>
    <col min="7711" max="7711" width="21" style="5" customWidth="1"/>
    <col min="7712" max="7712" width="17.59765625" style="5" bestFit="1" customWidth="1"/>
    <col min="7713" max="7713" width="8.59765625" style="5" customWidth="1"/>
    <col min="7714" max="7714" width="14.09765625" style="5" customWidth="1"/>
    <col min="7715" max="7936" width="5.3984375" style="5"/>
    <col min="7937" max="7937" width="10" style="5" bestFit="1" customWidth="1"/>
    <col min="7938" max="7938" width="7.69921875" style="5" bestFit="1" customWidth="1"/>
    <col min="7939" max="7939" width="8.59765625" style="5" customWidth="1"/>
    <col min="7940" max="7940" width="14.09765625" style="5" customWidth="1"/>
    <col min="7941" max="7941" width="8.59765625" style="5" customWidth="1"/>
    <col min="7942" max="7945" width="14.09765625" style="5" customWidth="1"/>
    <col min="7946" max="7946" width="8.59765625" style="5" customWidth="1"/>
    <col min="7947" max="7947" width="14.09765625" style="5" customWidth="1"/>
    <col min="7948" max="7948" width="8.59765625" style="5" customWidth="1"/>
    <col min="7949" max="7952" width="14.09765625" style="5" customWidth="1"/>
    <col min="7953" max="7953" width="8.59765625" style="5" customWidth="1"/>
    <col min="7954" max="7954" width="14.09765625" style="5" customWidth="1"/>
    <col min="7955" max="7955" width="8.59765625" style="5" customWidth="1"/>
    <col min="7956" max="7959" width="14.09765625" style="5" customWidth="1"/>
    <col min="7960" max="7960" width="8.59765625" style="5" customWidth="1"/>
    <col min="7961" max="7961" width="14.09765625" style="5" customWidth="1"/>
    <col min="7962" max="7962" width="8.59765625" style="5" customWidth="1"/>
    <col min="7963" max="7966" width="14.09765625" style="5" customWidth="1"/>
    <col min="7967" max="7967" width="21" style="5" customWidth="1"/>
    <col min="7968" max="7968" width="17.59765625" style="5" bestFit="1" customWidth="1"/>
    <col min="7969" max="7969" width="8.59765625" style="5" customWidth="1"/>
    <col min="7970" max="7970" width="14.09765625" style="5" customWidth="1"/>
    <col min="7971" max="8192" width="5.3984375" style="5"/>
    <col min="8193" max="8193" width="10" style="5" bestFit="1" customWidth="1"/>
    <col min="8194" max="8194" width="7.69921875" style="5" bestFit="1" customWidth="1"/>
    <col min="8195" max="8195" width="8.59765625" style="5" customWidth="1"/>
    <col min="8196" max="8196" width="14.09765625" style="5" customWidth="1"/>
    <col min="8197" max="8197" width="8.59765625" style="5" customWidth="1"/>
    <col min="8198" max="8201" width="14.09765625" style="5" customWidth="1"/>
    <col min="8202" max="8202" width="8.59765625" style="5" customWidth="1"/>
    <col min="8203" max="8203" width="14.09765625" style="5" customWidth="1"/>
    <col min="8204" max="8204" width="8.59765625" style="5" customWidth="1"/>
    <col min="8205" max="8208" width="14.09765625" style="5" customWidth="1"/>
    <col min="8209" max="8209" width="8.59765625" style="5" customWidth="1"/>
    <col min="8210" max="8210" width="14.09765625" style="5" customWidth="1"/>
    <col min="8211" max="8211" width="8.59765625" style="5" customWidth="1"/>
    <col min="8212" max="8215" width="14.09765625" style="5" customWidth="1"/>
    <col min="8216" max="8216" width="8.59765625" style="5" customWidth="1"/>
    <col min="8217" max="8217" width="14.09765625" style="5" customWidth="1"/>
    <col min="8218" max="8218" width="8.59765625" style="5" customWidth="1"/>
    <col min="8219" max="8222" width="14.09765625" style="5" customWidth="1"/>
    <col min="8223" max="8223" width="21" style="5" customWidth="1"/>
    <col min="8224" max="8224" width="17.59765625" style="5" bestFit="1" customWidth="1"/>
    <col min="8225" max="8225" width="8.59765625" style="5" customWidth="1"/>
    <col min="8226" max="8226" width="14.09765625" style="5" customWidth="1"/>
    <col min="8227" max="8448" width="5.3984375" style="5"/>
    <col min="8449" max="8449" width="10" style="5" bestFit="1" customWidth="1"/>
    <col min="8450" max="8450" width="7.69921875" style="5" bestFit="1" customWidth="1"/>
    <col min="8451" max="8451" width="8.59765625" style="5" customWidth="1"/>
    <col min="8452" max="8452" width="14.09765625" style="5" customWidth="1"/>
    <col min="8453" max="8453" width="8.59765625" style="5" customWidth="1"/>
    <col min="8454" max="8457" width="14.09765625" style="5" customWidth="1"/>
    <col min="8458" max="8458" width="8.59765625" style="5" customWidth="1"/>
    <col min="8459" max="8459" width="14.09765625" style="5" customWidth="1"/>
    <col min="8460" max="8460" width="8.59765625" style="5" customWidth="1"/>
    <col min="8461" max="8464" width="14.09765625" style="5" customWidth="1"/>
    <col min="8465" max="8465" width="8.59765625" style="5" customWidth="1"/>
    <col min="8466" max="8466" width="14.09765625" style="5" customWidth="1"/>
    <col min="8467" max="8467" width="8.59765625" style="5" customWidth="1"/>
    <col min="8468" max="8471" width="14.09765625" style="5" customWidth="1"/>
    <col min="8472" max="8472" width="8.59765625" style="5" customWidth="1"/>
    <col min="8473" max="8473" width="14.09765625" style="5" customWidth="1"/>
    <col min="8474" max="8474" width="8.59765625" style="5" customWidth="1"/>
    <col min="8475" max="8478" width="14.09765625" style="5" customWidth="1"/>
    <col min="8479" max="8479" width="21" style="5" customWidth="1"/>
    <col min="8480" max="8480" width="17.59765625" style="5" bestFit="1" customWidth="1"/>
    <col min="8481" max="8481" width="8.59765625" style="5" customWidth="1"/>
    <col min="8482" max="8482" width="14.09765625" style="5" customWidth="1"/>
    <col min="8483" max="8704" width="5.3984375" style="5"/>
    <col min="8705" max="8705" width="10" style="5" bestFit="1" customWidth="1"/>
    <col min="8706" max="8706" width="7.69921875" style="5" bestFit="1" customWidth="1"/>
    <col min="8707" max="8707" width="8.59765625" style="5" customWidth="1"/>
    <col min="8708" max="8708" width="14.09765625" style="5" customWidth="1"/>
    <col min="8709" max="8709" width="8.59765625" style="5" customWidth="1"/>
    <col min="8710" max="8713" width="14.09765625" style="5" customWidth="1"/>
    <col min="8714" max="8714" width="8.59765625" style="5" customWidth="1"/>
    <col min="8715" max="8715" width="14.09765625" style="5" customWidth="1"/>
    <col min="8716" max="8716" width="8.59765625" style="5" customWidth="1"/>
    <col min="8717" max="8720" width="14.09765625" style="5" customWidth="1"/>
    <col min="8721" max="8721" width="8.59765625" style="5" customWidth="1"/>
    <col min="8722" max="8722" width="14.09765625" style="5" customWidth="1"/>
    <col min="8723" max="8723" width="8.59765625" style="5" customWidth="1"/>
    <col min="8724" max="8727" width="14.09765625" style="5" customWidth="1"/>
    <col min="8728" max="8728" width="8.59765625" style="5" customWidth="1"/>
    <col min="8729" max="8729" width="14.09765625" style="5" customWidth="1"/>
    <col min="8730" max="8730" width="8.59765625" style="5" customWidth="1"/>
    <col min="8731" max="8734" width="14.09765625" style="5" customWidth="1"/>
    <col min="8735" max="8735" width="21" style="5" customWidth="1"/>
    <col min="8736" max="8736" width="17.59765625" style="5" bestFit="1" customWidth="1"/>
    <col min="8737" max="8737" width="8.59765625" style="5" customWidth="1"/>
    <col min="8738" max="8738" width="14.09765625" style="5" customWidth="1"/>
    <col min="8739" max="8960" width="5.3984375" style="5"/>
    <col min="8961" max="8961" width="10" style="5" bestFit="1" customWidth="1"/>
    <col min="8962" max="8962" width="7.69921875" style="5" bestFit="1" customWidth="1"/>
    <col min="8963" max="8963" width="8.59765625" style="5" customWidth="1"/>
    <col min="8964" max="8964" width="14.09765625" style="5" customWidth="1"/>
    <col min="8965" max="8965" width="8.59765625" style="5" customWidth="1"/>
    <col min="8966" max="8969" width="14.09765625" style="5" customWidth="1"/>
    <col min="8970" max="8970" width="8.59765625" style="5" customWidth="1"/>
    <col min="8971" max="8971" width="14.09765625" style="5" customWidth="1"/>
    <col min="8972" max="8972" width="8.59765625" style="5" customWidth="1"/>
    <col min="8973" max="8976" width="14.09765625" style="5" customWidth="1"/>
    <col min="8977" max="8977" width="8.59765625" style="5" customWidth="1"/>
    <col min="8978" max="8978" width="14.09765625" style="5" customWidth="1"/>
    <col min="8979" max="8979" width="8.59765625" style="5" customWidth="1"/>
    <col min="8980" max="8983" width="14.09765625" style="5" customWidth="1"/>
    <col min="8984" max="8984" width="8.59765625" style="5" customWidth="1"/>
    <col min="8985" max="8985" width="14.09765625" style="5" customWidth="1"/>
    <col min="8986" max="8986" width="8.59765625" style="5" customWidth="1"/>
    <col min="8987" max="8990" width="14.09765625" style="5" customWidth="1"/>
    <col min="8991" max="8991" width="21" style="5" customWidth="1"/>
    <col min="8992" max="8992" width="17.59765625" style="5" bestFit="1" customWidth="1"/>
    <col min="8993" max="8993" width="8.59765625" style="5" customWidth="1"/>
    <col min="8994" max="8994" width="14.09765625" style="5" customWidth="1"/>
    <col min="8995" max="9216" width="5.3984375" style="5"/>
    <col min="9217" max="9217" width="10" style="5" bestFit="1" customWidth="1"/>
    <col min="9218" max="9218" width="7.69921875" style="5" bestFit="1" customWidth="1"/>
    <col min="9219" max="9219" width="8.59765625" style="5" customWidth="1"/>
    <col min="9220" max="9220" width="14.09765625" style="5" customWidth="1"/>
    <col min="9221" max="9221" width="8.59765625" style="5" customWidth="1"/>
    <col min="9222" max="9225" width="14.09765625" style="5" customWidth="1"/>
    <col min="9226" max="9226" width="8.59765625" style="5" customWidth="1"/>
    <col min="9227" max="9227" width="14.09765625" style="5" customWidth="1"/>
    <col min="9228" max="9228" width="8.59765625" style="5" customWidth="1"/>
    <col min="9229" max="9232" width="14.09765625" style="5" customWidth="1"/>
    <col min="9233" max="9233" width="8.59765625" style="5" customWidth="1"/>
    <col min="9234" max="9234" width="14.09765625" style="5" customWidth="1"/>
    <col min="9235" max="9235" width="8.59765625" style="5" customWidth="1"/>
    <col min="9236" max="9239" width="14.09765625" style="5" customWidth="1"/>
    <col min="9240" max="9240" width="8.59765625" style="5" customWidth="1"/>
    <col min="9241" max="9241" width="14.09765625" style="5" customWidth="1"/>
    <col min="9242" max="9242" width="8.59765625" style="5" customWidth="1"/>
    <col min="9243" max="9246" width="14.09765625" style="5" customWidth="1"/>
    <col min="9247" max="9247" width="21" style="5" customWidth="1"/>
    <col min="9248" max="9248" width="17.59765625" style="5" bestFit="1" customWidth="1"/>
    <col min="9249" max="9249" width="8.59765625" style="5" customWidth="1"/>
    <col min="9250" max="9250" width="14.09765625" style="5" customWidth="1"/>
    <col min="9251" max="9472" width="5.3984375" style="5"/>
    <col min="9473" max="9473" width="10" style="5" bestFit="1" customWidth="1"/>
    <col min="9474" max="9474" width="7.69921875" style="5" bestFit="1" customWidth="1"/>
    <col min="9475" max="9475" width="8.59765625" style="5" customWidth="1"/>
    <col min="9476" max="9476" width="14.09765625" style="5" customWidth="1"/>
    <col min="9477" max="9477" width="8.59765625" style="5" customWidth="1"/>
    <col min="9478" max="9481" width="14.09765625" style="5" customWidth="1"/>
    <col min="9482" max="9482" width="8.59765625" style="5" customWidth="1"/>
    <col min="9483" max="9483" width="14.09765625" style="5" customWidth="1"/>
    <col min="9484" max="9484" width="8.59765625" style="5" customWidth="1"/>
    <col min="9485" max="9488" width="14.09765625" style="5" customWidth="1"/>
    <col min="9489" max="9489" width="8.59765625" style="5" customWidth="1"/>
    <col min="9490" max="9490" width="14.09765625" style="5" customWidth="1"/>
    <col min="9491" max="9491" width="8.59765625" style="5" customWidth="1"/>
    <col min="9492" max="9495" width="14.09765625" style="5" customWidth="1"/>
    <col min="9496" max="9496" width="8.59765625" style="5" customWidth="1"/>
    <col min="9497" max="9497" width="14.09765625" style="5" customWidth="1"/>
    <col min="9498" max="9498" width="8.59765625" style="5" customWidth="1"/>
    <col min="9499" max="9502" width="14.09765625" style="5" customWidth="1"/>
    <col min="9503" max="9503" width="21" style="5" customWidth="1"/>
    <col min="9504" max="9504" width="17.59765625" style="5" bestFit="1" customWidth="1"/>
    <col min="9505" max="9505" width="8.59765625" style="5" customWidth="1"/>
    <col min="9506" max="9506" width="14.09765625" style="5" customWidth="1"/>
    <col min="9507" max="9728" width="5.3984375" style="5"/>
    <col min="9729" max="9729" width="10" style="5" bestFit="1" customWidth="1"/>
    <col min="9730" max="9730" width="7.69921875" style="5" bestFit="1" customWidth="1"/>
    <col min="9731" max="9731" width="8.59765625" style="5" customWidth="1"/>
    <col min="9732" max="9732" width="14.09765625" style="5" customWidth="1"/>
    <col min="9733" max="9733" width="8.59765625" style="5" customWidth="1"/>
    <col min="9734" max="9737" width="14.09765625" style="5" customWidth="1"/>
    <col min="9738" max="9738" width="8.59765625" style="5" customWidth="1"/>
    <col min="9739" max="9739" width="14.09765625" style="5" customWidth="1"/>
    <col min="9740" max="9740" width="8.59765625" style="5" customWidth="1"/>
    <col min="9741" max="9744" width="14.09765625" style="5" customWidth="1"/>
    <col min="9745" max="9745" width="8.59765625" style="5" customWidth="1"/>
    <col min="9746" max="9746" width="14.09765625" style="5" customWidth="1"/>
    <col min="9747" max="9747" width="8.59765625" style="5" customWidth="1"/>
    <col min="9748" max="9751" width="14.09765625" style="5" customWidth="1"/>
    <col min="9752" max="9752" width="8.59765625" style="5" customWidth="1"/>
    <col min="9753" max="9753" width="14.09765625" style="5" customWidth="1"/>
    <col min="9754" max="9754" width="8.59765625" style="5" customWidth="1"/>
    <col min="9755" max="9758" width="14.09765625" style="5" customWidth="1"/>
    <col min="9759" max="9759" width="21" style="5" customWidth="1"/>
    <col min="9760" max="9760" width="17.59765625" style="5" bestFit="1" customWidth="1"/>
    <col min="9761" max="9761" width="8.59765625" style="5" customWidth="1"/>
    <col min="9762" max="9762" width="14.09765625" style="5" customWidth="1"/>
    <col min="9763" max="9984" width="5.3984375" style="5"/>
    <col min="9985" max="9985" width="10" style="5" bestFit="1" customWidth="1"/>
    <col min="9986" max="9986" width="7.69921875" style="5" bestFit="1" customWidth="1"/>
    <col min="9987" max="9987" width="8.59765625" style="5" customWidth="1"/>
    <col min="9988" max="9988" width="14.09765625" style="5" customWidth="1"/>
    <col min="9989" max="9989" width="8.59765625" style="5" customWidth="1"/>
    <col min="9990" max="9993" width="14.09765625" style="5" customWidth="1"/>
    <col min="9994" max="9994" width="8.59765625" style="5" customWidth="1"/>
    <col min="9995" max="9995" width="14.09765625" style="5" customWidth="1"/>
    <col min="9996" max="9996" width="8.59765625" style="5" customWidth="1"/>
    <col min="9997" max="10000" width="14.09765625" style="5" customWidth="1"/>
    <col min="10001" max="10001" width="8.59765625" style="5" customWidth="1"/>
    <col min="10002" max="10002" width="14.09765625" style="5" customWidth="1"/>
    <col min="10003" max="10003" width="8.59765625" style="5" customWidth="1"/>
    <col min="10004" max="10007" width="14.09765625" style="5" customWidth="1"/>
    <col min="10008" max="10008" width="8.59765625" style="5" customWidth="1"/>
    <col min="10009" max="10009" width="14.09765625" style="5" customWidth="1"/>
    <col min="10010" max="10010" width="8.59765625" style="5" customWidth="1"/>
    <col min="10011" max="10014" width="14.09765625" style="5" customWidth="1"/>
    <col min="10015" max="10015" width="21" style="5" customWidth="1"/>
    <col min="10016" max="10016" width="17.59765625" style="5" bestFit="1" customWidth="1"/>
    <col min="10017" max="10017" width="8.59765625" style="5" customWidth="1"/>
    <col min="10018" max="10018" width="14.09765625" style="5" customWidth="1"/>
    <col min="10019" max="10240" width="5.3984375" style="5"/>
    <col min="10241" max="10241" width="10" style="5" bestFit="1" customWidth="1"/>
    <col min="10242" max="10242" width="7.69921875" style="5" bestFit="1" customWidth="1"/>
    <col min="10243" max="10243" width="8.59765625" style="5" customWidth="1"/>
    <col min="10244" max="10244" width="14.09765625" style="5" customWidth="1"/>
    <col min="10245" max="10245" width="8.59765625" style="5" customWidth="1"/>
    <col min="10246" max="10249" width="14.09765625" style="5" customWidth="1"/>
    <col min="10250" max="10250" width="8.59765625" style="5" customWidth="1"/>
    <col min="10251" max="10251" width="14.09765625" style="5" customWidth="1"/>
    <col min="10252" max="10252" width="8.59765625" style="5" customWidth="1"/>
    <col min="10253" max="10256" width="14.09765625" style="5" customWidth="1"/>
    <col min="10257" max="10257" width="8.59765625" style="5" customWidth="1"/>
    <col min="10258" max="10258" width="14.09765625" style="5" customWidth="1"/>
    <col min="10259" max="10259" width="8.59765625" style="5" customWidth="1"/>
    <col min="10260" max="10263" width="14.09765625" style="5" customWidth="1"/>
    <col min="10264" max="10264" width="8.59765625" style="5" customWidth="1"/>
    <col min="10265" max="10265" width="14.09765625" style="5" customWidth="1"/>
    <col min="10266" max="10266" width="8.59765625" style="5" customWidth="1"/>
    <col min="10267" max="10270" width="14.09765625" style="5" customWidth="1"/>
    <col min="10271" max="10271" width="21" style="5" customWidth="1"/>
    <col min="10272" max="10272" width="17.59765625" style="5" bestFit="1" customWidth="1"/>
    <col min="10273" max="10273" width="8.59765625" style="5" customWidth="1"/>
    <col min="10274" max="10274" width="14.09765625" style="5" customWidth="1"/>
    <col min="10275" max="10496" width="5.3984375" style="5"/>
    <col min="10497" max="10497" width="10" style="5" bestFit="1" customWidth="1"/>
    <col min="10498" max="10498" width="7.69921875" style="5" bestFit="1" customWidth="1"/>
    <col min="10499" max="10499" width="8.59765625" style="5" customWidth="1"/>
    <col min="10500" max="10500" width="14.09765625" style="5" customWidth="1"/>
    <col min="10501" max="10501" width="8.59765625" style="5" customWidth="1"/>
    <col min="10502" max="10505" width="14.09765625" style="5" customWidth="1"/>
    <col min="10506" max="10506" width="8.59765625" style="5" customWidth="1"/>
    <col min="10507" max="10507" width="14.09765625" style="5" customWidth="1"/>
    <col min="10508" max="10508" width="8.59765625" style="5" customWidth="1"/>
    <col min="10509" max="10512" width="14.09765625" style="5" customWidth="1"/>
    <col min="10513" max="10513" width="8.59765625" style="5" customWidth="1"/>
    <col min="10514" max="10514" width="14.09765625" style="5" customWidth="1"/>
    <col min="10515" max="10515" width="8.59765625" style="5" customWidth="1"/>
    <col min="10516" max="10519" width="14.09765625" style="5" customWidth="1"/>
    <col min="10520" max="10520" width="8.59765625" style="5" customWidth="1"/>
    <col min="10521" max="10521" width="14.09765625" style="5" customWidth="1"/>
    <col min="10522" max="10522" width="8.59765625" style="5" customWidth="1"/>
    <col min="10523" max="10526" width="14.09765625" style="5" customWidth="1"/>
    <col min="10527" max="10527" width="21" style="5" customWidth="1"/>
    <col min="10528" max="10528" width="17.59765625" style="5" bestFit="1" customWidth="1"/>
    <col min="10529" max="10529" width="8.59765625" style="5" customWidth="1"/>
    <col min="10530" max="10530" width="14.09765625" style="5" customWidth="1"/>
    <col min="10531" max="10752" width="5.3984375" style="5"/>
    <col min="10753" max="10753" width="10" style="5" bestFit="1" customWidth="1"/>
    <col min="10754" max="10754" width="7.69921875" style="5" bestFit="1" customWidth="1"/>
    <col min="10755" max="10755" width="8.59765625" style="5" customWidth="1"/>
    <col min="10756" max="10756" width="14.09765625" style="5" customWidth="1"/>
    <col min="10757" max="10757" width="8.59765625" style="5" customWidth="1"/>
    <col min="10758" max="10761" width="14.09765625" style="5" customWidth="1"/>
    <col min="10762" max="10762" width="8.59765625" style="5" customWidth="1"/>
    <col min="10763" max="10763" width="14.09765625" style="5" customWidth="1"/>
    <col min="10764" max="10764" width="8.59765625" style="5" customWidth="1"/>
    <col min="10765" max="10768" width="14.09765625" style="5" customWidth="1"/>
    <col min="10769" max="10769" width="8.59765625" style="5" customWidth="1"/>
    <col min="10770" max="10770" width="14.09765625" style="5" customWidth="1"/>
    <col min="10771" max="10771" width="8.59765625" style="5" customWidth="1"/>
    <col min="10772" max="10775" width="14.09765625" style="5" customWidth="1"/>
    <col min="10776" max="10776" width="8.59765625" style="5" customWidth="1"/>
    <col min="10777" max="10777" width="14.09765625" style="5" customWidth="1"/>
    <col min="10778" max="10778" width="8.59765625" style="5" customWidth="1"/>
    <col min="10779" max="10782" width="14.09765625" style="5" customWidth="1"/>
    <col min="10783" max="10783" width="21" style="5" customWidth="1"/>
    <col min="10784" max="10784" width="17.59765625" style="5" bestFit="1" customWidth="1"/>
    <col min="10785" max="10785" width="8.59765625" style="5" customWidth="1"/>
    <col min="10786" max="10786" width="14.09765625" style="5" customWidth="1"/>
    <col min="10787" max="11008" width="5.3984375" style="5"/>
    <col min="11009" max="11009" width="10" style="5" bestFit="1" customWidth="1"/>
    <col min="11010" max="11010" width="7.69921875" style="5" bestFit="1" customWidth="1"/>
    <col min="11011" max="11011" width="8.59765625" style="5" customWidth="1"/>
    <col min="11012" max="11012" width="14.09765625" style="5" customWidth="1"/>
    <col min="11013" max="11013" width="8.59765625" style="5" customWidth="1"/>
    <col min="11014" max="11017" width="14.09765625" style="5" customWidth="1"/>
    <col min="11018" max="11018" width="8.59765625" style="5" customWidth="1"/>
    <col min="11019" max="11019" width="14.09765625" style="5" customWidth="1"/>
    <col min="11020" max="11020" width="8.59765625" style="5" customWidth="1"/>
    <col min="11021" max="11024" width="14.09765625" style="5" customWidth="1"/>
    <col min="11025" max="11025" width="8.59765625" style="5" customWidth="1"/>
    <col min="11026" max="11026" width="14.09765625" style="5" customWidth="1"/>
    <col min="11027" max="11027" width="8.59765625" style="5" customWidth="1"/>
    <col min="11028" max="11031" width="14.09765625" style="5" customWidth="1"/>
    <col min="11032" max="11032" width="8.59765625" style="5" customWidth="1"/>
    <col min="11033" max="11033" width="14.09765625" style="5" customWidth="1"/>
    <col min="11034" max="11034" width="8.59765625" style="5" customWidth="1"/>
    <col min="11035" max="11038" width="14.09765625" style="5" customWidth="1"/>
    <col min="11039" max="11039" width="21" style="5" customWidth="1"/>
    <col min="11040" max="11040" width="17.59765625" style="5" bestFit="1" customWidth="1"/>
    <col min="11041" max="11041" width="8.59765625" style="5" customWidth="1"/>
    <col min="11042" max="11042" width="14.09765625" style="5" customWidth="1"/>
    <col min="11043" max="11264" width="5.3984375" style="5"/>
    <col min="11265" max="11265" width="10" style="5" bestFit="1" customWidth="1"/>
    <col min="11266" max="11266" width="7.69921875" style="5" bestFit="1" customWidth="1"/>
    <col min="11267" max="11267" width="8.59765625" style="5" customWidth="1"/>
    <col min="11268" max="11268" width="14.09765625" style="5" customWidth="1"/>
    <col min="11269" max="11269" width="8.59765625" style="5" customWidth="1"/>
    <col min="11270" max="11273" width="14.09765625" style="5" customWidth="1"/>
    <col min="11274" max="11274" width="8.59765625" style="5" customWidth="1"/>
    <col min="11275" max="11275" width="14.09765625" style="5" customWidth="1"/>
    <col min="11276" max="11276" width="8.59765625" style="5" customWidth="1"/>
    <col min="11277" max="11280" width="14.09765625" style="5" customWidth="1"/>
    <col min="11281" max="11281" width="8.59765625" style="5" customWidth="1"/>
    <col min="11282" max="11282" width="14.09765625" style="5" customWidth="1"/>
    <col min="11283" max="11283" width="8.59765625" style="5" customWidth="1"/>
    <col min="11284" max="11287" width="14.09765625" style="5" customWidth="1"/>
    <col min="11288" max="11288" width="8.59765625" style="5" customWidth="1"/>
    <col min="11289" max="11289" width="14.09765625" style="5" customWidth="1"/>
    <col min="11290" max="11290" width="8.59765625" style="5" customWidth="1"/>
    <col min="11291" max="11294" width="14.09765625" style="5" customWidth="1"/>
    <col min="11295" max="11295" width="21" style="5" customWidth="1"/>
    <col min="11296" max="11296" width="17.59765625" style="5" bestFit="1" customWidth="1"/>
    <col min="11297" max="11297" width="8.59765625" style="5" customWidth="1"/>
    <col min="11298" max="11298" width="14.09765625" style="5" customWidth="1"/>
    <col min="11299" max="11520" width="5.3984375" style="5"/>
    <col min="11521" max="11521" width="10" style="5" bestFit="1" customWidth="1"/>
    <col min="11522" max="11522" width="7.69921875" style="5" bestFit="1" customWidth="1"/>
    <col min="11523" max="11523" width="8.59765625" style="5" customWidth="1"/>
    <col min="11524" max="11524" width="14.09765625" style="5" customWidth="1"/>
    <col min="11525" max="11525" width="8.59765625" style="5" customWidth="1"/>
    <col min="11526" max="11529" width="14.09765625" style="5" customWidth="1"/>
    <col min="11530" max="11530" width="8.59765625" style="5" customWidth="1"/>
    <col min="11531" max="11531" width="14.09765625" style="5" customWidth="1"/>
    <col min="11532" max="11532" width="8.59765625" style="5" customWidth="1"/>
    <col min="11533" max="11536" width="14.09765625" style="5" customWidth="1"/>
    <col min="11537" max="11537" width="8.59765625" style="5" customWidth="1"/>
    <col min="11538" max="11538" width="14.09765625" style="5" customWidth="1"/>
    <col min="11539" max="11539" width="8.59765625" style="5" customWidth="1"/>
    <col min="11540" max="11543" width="14.09765625" style="5" customWidth="1"/>
    <col min="11544" max="11544" width="8.59765625" style="5" customWidth="1"/>
    <col min="11545" max="11545" width="14.09765625" style="5" customWidth="1"/>
    <col min="11546" max="11546" width="8.59765625" style="5" customWidth="1"/>
    <col min="11547" max="11550" width="14.09765625" style="5" customWidth="1"/>
    <col min="11551" max="11551" width="21" style="5" customWidth="1"/>
    <col min="11552" max="11552" width="17.59765625" style="5" bestFit="1" customWidth="1"/>
    <col min="11553" max="11553" width="8.59765625" style="5" customWidth="1"/>
    <col min="11554" max="11554" width="14.09765625" style="5" customWidth="1"/>
    <col min="11555" max="11776" width="5.3984375" style="5"/>
    <col min="11777" max="11777" width="10" style="5" bestFit="1" customWidth="1"/>
    <col min="11778" max="11778" width="7.69921875" style="5" bestFit="1" customWidth="1"/>
    <col min="11779" max="11779" width="8.59765625" style="5" customWidth="1"/>
    <col min="11780" max="11780" width="14.09765625" style="5" customWidth="1"/>
    <col min="11781" max="11781" width="8.59765625" style="5" customWidth="1"/>
    <col min="11782" max="11785" width="14.09765625" style="5" customWidth="1"/>
    <col min="11786" max="11786" width="8.59765625" style="5" customWidth="1"/>
    <col min="11787" max="11787" width="14.09765625" style="5" customWidth="1"/>
    <col min="11788" max="11788" width="8.59765625" style="5" customWidth="1"/>
    <col min="11789" max="11792" width="14.09765625" style="5" customWidth="1"/>
    <col min="11793" max="11793" width="8.59765625" style="5" customWidth="1"/>
    <col min="11794" max="11794" width="14.09765625" style="5" customWidth="1"/>
    <col min="11795" max="11795" width="8.59765625" style="5" customWidth="1"/>
    <col min="11796" max="11799" width="14.09765625" style="5" customWidth="1"/>
    <col min="11800" max="11800" width="8.59765625" style="5" customWidth="1"/>
    <col min="11801" max="11801" width="14.09765625" style="5" customWidth="1"/>
    <col min="11802" max="11802" width="8.59765625" style="5" customWidth="1"/>
    <col min="11803" max="11806" width="14.09765625" style="5" customWidth="1"/>
    <col min="11807" max="11807" width="21" style="5" customWidth="1"/>
    <col min="11808" max="11808" width="17.59765625" style="5" bestFit="1" customWidth="1"/>
    <col min="11809" max="11809" width="8.59765625" style="5" customWidth="1"/>
    <col min="11810" max="11810" width="14.09765625" style="5" customWidth="1"/>
    <col min="11811" max="12032" width="5.3984375" style="5"/>
    <col min="12033" max="12033" width="10" style="5" bestFit="1" customWidth="1"/>
    <col min="12034" max="12034" width="7.69921875" style="5" bestFit="1" customWidth="1"/>
    <col min="12035" max="12035" width="8.59765625" style="5" customWidth="1"/>
    <col min="12036" max="12036" width="14.09765625" style="5" customWidth="1"/>
    <col min="12037" max="12037" width="8.59765625" style="5" customWidth="1"/>
    <col min="12038" max="12041" width="14.09765625" style="5" customWidth="1"/>
    <col min="12042" max="12042" width="8.59765625" style="5" customWidth="1"/>
    <col min="12043" max="12043" width="14.09765625" style="5" customWidth="1"/>
    <col min="12044" max="12044" width="8.59765625" style="5" customWidth="1"/>
    <col min="12045" max="12048" width="14.09765625" style="5" customWidth="1"/>
    <col min="12049" max="12049" width="8.59765625" style="5" customWidth="1"/>
    <col min="12050" max="12050" width="14.09765625" style="5" customWidth="1"/>
    <col min="12051" max="12051" width="8.59765625" style="5" customWidth="1"/>
    <col min="12052" max="12055" width="14.09765625" style="5" customWidth="1"/>
    <col min="12056" max="12056" width="8.59765625" style="5" customWidth="1"/>
    <col min="12057" max="12057" width="14.09765625" style="5" customWidth="1"/>
    <col min="12058" max="12058" width="8.59765625" style="5" customWidth="1"/>
    <col min="12059" max="12062" width="14.09765625" style="5" customWidth="1"/>
    <col min="12063" max="12063" width="21" style="5" customWidth="1"/>
    <col min="12064" max="12064" width="17.59765625" style="5" bestFit="1" customWidth="1"/>
    <col min="12065" max="12065" width="8.59765625" style="5" customWidth="1"/>
    <col min="12066" max="12066" width="14.09765625" style="5" customWidth="1"/>
    <col min="12067" max="12288" width="5.3984375" style="5"/>
    <col min="12289" max="12289" width="10" style="5" bestFit="1" customWidth="1"/>
    <col min="12290" max="12290" width="7.69921875" style="5" bestFit="1" customWidth="1"/>
    <col min="12291" max="12291" width="8.59765625" style="5" customWidth="1"/>
    <col min="12292" max="12292" width="14.09765625" style="5" customWidth="1"/>
    <col min="12293" max="12293" width="8.59765625" style="5" customWidth="1"/>
    <col min="12294" max="12297" width="14.09765625" style="5" customWidth="1"/>
    <col min="12298" max="12298" width="8.59765625" style="5" customWidth="1"/>
    <col min="12299" max="12299" width="14.09765625" style="5" customWidth="1"/>
    <col min="12300" max="12300" width="8.59765625" style="5" customWidth="1"/>
    <col min="12301" max="12304" width="14.09765625" style="5" customWidth="1"/>
    <col min="12305" max="12305" width="8.59765625" style="5" customWidth="1"/>
    <col min="12306" max="12306" width="14.09765625" style="5" customWidth="1"/>
    <col min="12307" max="12307" width="8.59765625" style="5" customWidth="1"/>
    <col min="12308" max="12311" width="14.09765625" style="5" customWidth="1"/>
    <col min="12312" max="12312" width="8.59765625" style="5" customWidth="1"/>
    <col min="12313" max="12313" width="14.09765625" style="5" customWidth="1"/>
    <col min="12314" max="12314" width="8.59765625" style="5" customWidth="1"/>
    <col min="12315" max="12318" width="14.09765625" style="5" customWidth="1"/>
    <col min="12319" max="12319" width="21" style="5" customWidth="1"/>
    <col min="12320" max="12320" width="17.59765625" style="5" bestFit="1" customWidth="1"/>
    <col min="12321" max="12321" width="8.59765625" style="5" customWidth="1"/>
    <col min="12322" max="12322" width="14.09765625" style="5" customWidth="1"/>
    <col min="12323" max="12544" width="5.3984375" style="5"/>
    <col min="12545" max="12545" width="10" style="5" bestFit="1" customWidth="1"/>
    <col min="12546" max="12546" width="7.69921875" style="5" bestFit="1" customWidth="1"/>
    <col min="12547" max="12547" width="8.59765625" style="5" customWidth="1"/>
    <col min="12548" max="12548" width="14.09765625" style="5" customWidth="1"/>
    <col min="12549" max="12549" width="8.59765625" style="5" customWidth="1"/>
    <col min="12550" max="12553" width="14.09765625" style="5" customWidth="1"/>
    <col min="12554" max="12554" width="8.59765625" style="5" customWidth="1"/>
    <col min="12555" max="12555" width="14.09765625" style="5" customWidth="1"/>
    <col min="12556" max="12556" width="8.59765625" style="5" customWidth="1"/>
    <col min="12557" max="12560" width="14.09765625" style="5" customWidth="1"/>
    <col min="12561" max="12561" width="8.59765625" style="5" customWidth="1"/>
    <col min="12562" max="12562" width="14.09765625" style="5" customWidth="1"/>
    <col min="12563" max="12563" width="8.59765625" style="5" customWidth="1"/>
    <col min="12564" max="12567" width="14.09765625" style="5" customWidth="1"/>
    <col min="12568" max="12568" width="8.59765625" style="5" customWidth="1"/>
    <col min="12569" max="12569" width="14.09765625" style="5" customWidth="1"/>
    <col min="12570" max="12570" width="8.59765625" style="5" customWidth="1"/>
    <col min="12571" max="12574" width="14.09765625" style="5" customWidth="1"/>
    <col min="12575" max="12575" width="21" style="5" customWidth="1"/>
    <col min="12576" max="12576" width="17.59765625" style="5" bestFit="1" customWidth="1"/>
    <col min="12577" max="12577" width="8.59765625" style="5" customWidth="1"/>
    <col min="12578" max="12578" width="14.09765625" style="5" customWidth="1"/>
    <col min="12579" max="12800" width="5.3984375" style="5"/>
    <col min="12801" max="12801" width="10" style="5" bestFit="1" customWidth="1"/>
    <col min="12802" max="12802" width="7.69921875" style="5" bestFit="1" customWidth="1"/>
    <col min="12803" max="12803" width="8.59765625" style="5" customWidth="1"/>
    <col min="12804" max="12804" width="14.09765625" style="5" customWidth="1"/>
    <col min="12805" max="12805" width="8.59765625" style="5" customWidth="1"/>
    <col min="12806" max="12809" width="14.09765625" style="5" customWidth="1"/>
    <col min="12810" max="12810" width="8.59765625" style="5" customWidth="1"/>
    <col min="12811" max="12811" width="14.09765625" style="5" customWidth="1"/>
    <col min="12812" max="12812" width="8.59765625" style="5" customWidth="1"/>
    <col min="12813" max="12816" width="14.09765625" style="5" customWidth="1"/>
    <col min="12817" max="12817" width="8.59765625" style="5" customWidth="1"/>
    <col min="12818" max="12818" width="14.09765625" style="5" customWidth="1"/>
    <col min="12819" max="12819" width="8.59765625" style="5" customWidth="1"/>
    <col min="12820" max="12823" width="14.09765625" style="5" customWidth="1"/>
    <col min="12824" max="12824" width="8.59765625" style="5" customWidth="1"/>
    <col min="12825" max="12825" width="14.09765625" style="5" customWidth="1"/>
    <col min="12826" max="12826" width="8.59765625" style="5" customWidth="1"/>
    <col min="12827" max="12830" width="14.09765625" style="5" customWidth="1"/>
    <col min="12831" max="12831" width="21" style="5" customWidth="1"/>
    <col min="12832" max="12832" width="17.59765625" style="5" bestFit="1" customWidth="1"/>
    <col min="12833" max="12833" width="8.59765625" style="5" customWidth="1"/>
    <col min="12834" max="12834" width="14.09765625" style="5" customWidth="1"/>
    <col min="12835" max="13056" width="5.3984375" style="5"/>
    <col min="13057" max="13057" width="10" style="5" bestFit="1" customWidth="1"/>
    <col min="13058" max="13058" width="7.69921875" style="5" bestFit="1" customWidth="1"/>
    <col min="13059" max="13059" width="8.59765625" style="5" customWidth="1"/>
    <col min="13060" max="13060" width="14.09765625" style="5" customWidth="1"/>
    <col min="13061" max="13061" width="8.59765625" style="5" customWidth="1"/>
    <col min="13062" max="13065" width="14.09765625" style="5" customWidth="1"/>
    <col min="13066" max="13066" width="8.59765625" style="5" customWidth="1"/>
    <col min="13067" max="13067" width="14.09765625" style="5" customWidth="1"/>
    <col min="13068" max="13068" width="8.59765625" style="5" customWidth="1"/>
    <col min="13069" max="13072" width="14.09765625" style="5" customWidth="1"/>
    <col min="13073" max="13073" width="8.59765625" style="5" customWidth="1"/>
    <col min="13074" max="13074" width="14.09765625" style="5" customWidth="1"/>
    <col min="13075" max="13075" width="8.59765625" style="5" customWidth="1"/>
    <col min="13076" max="13079" width="14.09765625" style="5" customWidth="1"/>
    <col min="13080" max="13080" width="8.59765625" style="5" customWidth="1"/>
    <col min="13081" max="13081" width="14.09765625" style="5" customWidth="1"/>
    <col min="13082" max="13082" width="8.59765625" style="5" customWidth="1"/>
    <col min="13083" max="13086" width="14.09765625" style="5" customWidth="1"/>
    <col min="13087" max="13087" width="21" style="5" customWidth="1"/>
    <col min="13088" max="13088" width="17.59765625" style="5" bestFit="1" customWidth="1"/>
    <col min="13089" max="13089" width="8.59765625" style="5" customWidth="1"/>
    <col min="13090" max="13090" width="14.09765625" style="5" customWidth="1"/>
    <col min="13091" max="13312" width="5.3984375" style="5"/>
    <col min="13313" max="13313" width="10" style="5" bestFit="1" customWidth="1"/>
    <col min="13314" max="13314" width="7.69921875" style="5" bestFit="1" customWidth="1"/>
    <col min="13315" max="13315" width="8.59765625" style="5" customWidth="1"/>
    <col min="13316" max="13316" width="14.09765625" style="5" customWidth="1"/>
    <col min="13317" max="13317" width="8.59765625" style="5" customWidth="1"/>
    <col min="13318" max="13321" width="14.09765625" style="5" customWidth="1"/>
    <col min="13322" max="13322" width="8.59765625" style="5" customWidth="1"/>
    <col min="13323" max="13323" width="14.09765625" style="5" customWidth="1"/>
    <col min="13324" max="13324" width="8.59765625" style="5" customWidth="1"/>
    <col min="13325" max="13328" width="14.09765625" style="5" customWidth="1"/>
    <col min="13329" max="13329" width="8.59765625" style="5" customWidth="1"/>
    <col min="13330" max="13330" width="14.09765625" style="5" customWidth="1"/>
    <col min="13331" max="13331" width="8.59765625" style="5" customWidth="1"/>
    <col min="13332" max="13335" width="14.09765625" style="5" customWidth="1"/>
    <col min="13336" max="13336" width="8.59765625" style="5" customWidth="1"/>
    <col min="13337" max="13337" width="14.09765625" style="5" customWidth="1"/>
    <col min="13338" max="13338" width="8.59765625" style="5" customWidth="1"/>
    <col min="13339" max="13342" width="14.09765625" style="5" customWidth="1"/>
    <col min="13343" max="13343" width="21" style="5" customWidth="1"/>
    <col min="13344" max="13344" width="17.59765625" style="5" bestFit="1" customWidth="1"/>
    <col min="13345" max="13345" width="8.59765625" style="5" customWidth="1"/>
    <col min="13346" max="13346" width="14.09765625" style="5" customWidth="1"/>
    <col min="13347" max="13568" width="5.3984375" style="5"/>
    <col min="13569" max="13569" width="10" style="5" bestFit="1" customWidth="1"/>
    <col min="13570" max="13570" width="7.69921875" style="5" bestFit="1" customWidth="1"/>
    <col min="13571" max="13571" width="8.59765625" style="5" customWidth="1"/>
    <col min="13572" max="13572" width="14.09765625" style="5" customWidth="1"/>
    <col min="13573" max="13573" width="8.59765625" style="5" customWidth="1"/>
    <col min="13574" max="13577" width="14.09765625" style="5" customWidth="1"/>
    <col min="13578" max="13578" width="8.59765625" style="5" customWidth="1"/>
    <col min="13579" max="13579" width="14.09765625" style="5" customWidth="1"/>
    <col min="13580" max="13580" width="8.59765625" style="5" customWidth="1"/>
    <col min="13581" max="13584" width="14.09765625" style="5" customWidth="1"/>
    <col min="13585" max="13585" width="8.59765625" style="5" customWidth="1"/>
    <col min="13586" max="13586" width="14.09765625" style="5" customWidth="1"/>
    <col min="13587" max="13587" width="8.59765625" style="5" customWidth="1"/>
    <col min="13588" max="13591" width="14.09765625" style="5" customWidth="1"/>
    <col min="13592" max="13592" width="8.59765625" style="5" customWidth="1"/>
    <col min="13593" max="13593" width="14.09765625" style="5" customWidth="1"/>
    <col min="13594" max="13594" width="8.59765625" style="5" customWidth="1"/>
    <col min="13595" max="13598" width="14.09765625" style="5" customWidth="1"/>
    <col min="13599" max="13599" width="21" style="5" customWidth="1"/>
    <col min="13600" max="13600" width="17.59765625" style="5" bestFit="1" customWidth="1"/>
    <col min="13601" max="13601" width="8.59765625" style="5" customWidth="1"/>
    <col min="13602" max="13602" width="14.09765625" style="5" customWidth="1"/>
    <col min="13603" max="13824" width="5.3984375" style="5"/>
    <col min="13825" max="13825" width="10" style="5" bestFit="1" customWidth="1"/>
    <col min="13826" max="13826" width="7.69921875" style="5" bestFit="1" customWidth="1"/>
    <col min="13827" max="13827" width="8.59765625" style="5" customWidth="1"/>
    <col min="13828" max="13828" width="14.09765625" style="5" customWidth="1"/>
    <col min="13829" max="13829" width="8.59765625" style="5" customWidth="1"/>
    <col min="13830" max="13833" width="14.09765625" style="5" customWidth="1"/>
    <col min="13834" max="13834" width="8.59765625" style="5" customWidth="1"/>
    <col min="13835" max="13835" width="14.09765625" style="5" customWidth="1"/>
    <col min="13836" max="13836" width="8.59765625" style="5" customWidth="1"/>
    <col min="13837" max="13840" width="14.09765625" style="5" customWidth="1"/>
    <col min="13841" max="13841" width="8.59765625" style="5" customWidth="1"/>
    <col min="13842" max="13842" width="14.09765625" style="5" customWidth="1"/>
    <col min="13843" max="13843" width="8.59765625" style="5" customWidth="1"/>
    <col min="13844" max="13847" width="14.09765625" style="5" customWidth="1"/>
    <col min="13848" max="13848" width="8.59765625" style="5" customWidth="1"/>
    <col min="13849" max="13849" width="14.09765625" style="5" customWidth="1"/>
    <col min="13850" max="13850" width="8.59765625" style="5" customWidth="1"/>
    <col min="13851" max="13854" width="14.09765625" style="5" customWidth="1"/>
    <col min="13855" max="13855" width="21" style="5" customWidth="1"/>
    <col min="13856" max="13856" width="17.59765625" style="5" bestFit="1" customWidth="1"/>
    <col min="13857" max="13857" width="8.59765625" style="5" customWidth="1"/>
    <col min="13858" max="13858" width="14.09765625" style="5" customWidth="1"/>
    <col min="13859" max="14080" width="5.3984375" style="5"/>
    <col min="14081" max="14081" width="10" style="5" bestFit="1" customWidth="1"/>
    <col min="14082" max="14082" width="7.69921875" style="5" bestFit="1" customWidth="1"/>
    <col min="14083" max="14083" width="8.59765625" style="5" customWidth="1"/>
    <col min="14084" max="14084" width="14.09765625" style="5" customWidth="1"/>
    <col min="14085" max="14085" width="8.59765625" style="5" customWidth="1"/>
    <col min="14086" max="14089" width="14.09765625" style="5" customWidth="1"/>
    <col min="14090" max="14090" width="8.59765625" style="5" customWidth="1"/>
    <col min="14091" max="14091" width="14.09765625" style="5" customWidth="1"/>
    <col min="14092" max="14092" width="8.59765625" style="5" customWidth="1"/>
    <col min="14093" max="14096" width="14.09765625" style="5" customWidth="1"/>
    <col min="14097" max="14097" width="8.59765625" style="5" customWidth="1"/>
    <col min="14098" max="14098" width="14.09765625" style="5" customWidth="1"/>
    <col min="14099" max="14099" width="8.59765625" style="5" customWidth="1"/>
    <col min="14100" max="14103" width="14.09765625" style="5" customWidth="1"/>
    <col min="14104" max="14104" width="8.59765625" style="5" customWidth="1"/>
    <col min="14105" max="14105" width="14.09765625" style="5" customWidth="1"/>
    <col min="14106" max="14106" width="8.59765625" style="5" customWidth="1"/>
    <col min="14107" max="14110" width="14.09765625" style="5" customWidth="1"/>
    <col min="14111" max="14111" width="21" style="5" customWidth="1"/>
    <col min="14112" max="14112" width="17.59765625" style="5" bestFit="1" customWidth="1"/>
    <col min="14113" max="14113" width="8.59765625" style="5" customWidth="1"/>
    <col min="14114" max="14114" width="14.09765625" style="5" customWidth="1"/>
    <col min="14115" max="14336" width="5.3984375" style="5"/>
    <col min="14337" max="14337" width="10" style="5" bestFit="1" customWidth="1"/>
    <col min="14338" max="14338" width="7.69921875" style="5" bestFit="1" customWidth="1"/>
    <col min="14339" max="14339" width="8.59765625" style="5" customWidth="1"/>
    <col min="14340" max="14340" width="14.09765625" style="5" customWidth="1"/>
    <col min="14341" max="14341" width="8.59765625" style="5" customWidth="1"/>
    <col min="14342" max="14345" width="14.09765625" style="5" customWidth="1"/>
    <col min="14346" max="14346" width="8.59765625" style="5" customWidth="1"/>
    <col min="14347" max="14347" width="14.09765625" style="5" customWidth="1"/>
    <col min="14348" max="14348" width="8.59765625" style="5" customWidth="1"/>
    <col min="14349" max="14352" width="14.09765625" style="5" customWidth="1"/>
    <col min="14353" max="14353" width="8.59765625" style="5" customWidth="1"/>
    <col min="14354" max="14354" width="14.09765625" style="5" customWidth="1"/>
    <col min="14355" max="14355" width="8.59765625" style="5" customWidth="1"/>
    <col min="14356" max="14359" width="14.09765625" style="5" customWidth="1"/>
    <col min="14360" max="14360" width="8.59765625" style="5" customWidth="1"/>
    <col min="14361" max="14361" width="14.09765625" style="5" customWidth="1"/>
    <col min="14362" max="14362" width="8.59765625" style="5" customWidth="1"/>
    <col min="14363" max="14366" width="14.09765625" style="5" customWidth="1"/>
    <col min="14367" max="14367" width="21" style="5" customWidth="1"/>
    <col min="14368" max="14368" width="17.59765625" style="5" bestFit="1" customWidth="1"/>
    <col min="14369" max="14369" width="8.59765625" style="5" customWidth="1"/>
    <col min="14370" max="14370" width="14.09765625" style="5" customWidth="1"/>
    <col min="14371" max="14592" width="5.3984375" style="5"/>
    <col min="14593" max="14593" width="10" style="5" bestFit="1" customWidth="1"/>
    <col min="14594" max="14594" width="7.69921875" style="5" bestFit="1" customWidth="1"/>
    <col min="14595" max="14595" width="8.59765625" style="5" customWidth="1"/>
    <col min="14596" max="14596" width="14.09765625" style="5" customWidth="1"/>
    <col min="14597" max="14597" width="8.59765625" style="5" customWidth="1"/>
    <col min="14598" max="14601" width="14.09765625" style="5" customWidth="1"/>
    <col min="14602" max="14602" width="8.59765625" style="5" customWidth="1"/>
    <col min="14603" max="14603" width="14.09765625" style="5" customWidth="1"/>
    <col min="14604" max="14604" width="8.59765625" style="5" customWidth="1"/>
    <col min="14605" max="14608" width="14.09765625" style="5" customWidth="1"/>
    <col min="14609" max="14609" width="8.59765625" style="5" customWidth="1"/>
    <col min="14610" max="14610" width="14.09765625" style="5" customWidth="1"/>
    <col min="14611" max="14611" width="8.59765625" style="5" customWidth="1"/>
    <col min="14612" max="14615" width="14.09765625" style="5" customWidth="1"/>
    <col min="14616" max="14616" width="8.59765625" style="5" customWidth="1"/>
    <col min="14617" max="14617" width="14.09765625" style="5" customWidth="1"/>
    <col min="14618" max="14618" width="8.59765625" style="5" customWidth="1"/>
    <col min="14619" max="14622" width="14.09765625" style="5" customWidth="1"/>
    <col min="14623" max="14623" width="21" style="5" customWidth="1"/>
    <col min="14624" max="14624" width="17.59765625" style="5" bestFit="1" customWidth="1"/>
    <col min="14625" max="14625" width="8.59765625" style="5" customWidth="1"/>
    <col min="14626" max="14626" width="14.09765625" style="5" customWidth="1"/>
    <col min="14627" max="14848" width="5.3984375" style="5"/>
    <col min="14849" max="14849" width="10" style="5" bestFit="1" customWidth="1"/>
    <col min="14850" max="14850" width="7.69921875" style="5" bestFit="1" customWidth="1"/>
    <col min="14851" max="14851" width="8.59765625" style="5" customWidth="1"/>
    <col min="14852" max="14852" width="14.09765625" style="5" customWidth="1"/>
    <col min="14853" max="14853" width="8.59765625" style="5" customWidth="1"/>
    <col min="14854" max="14857" width="14.09765625" style="5" customWidth="1"/>
    <col min="14858" max="14858" width="8.59765625" style="5" customWidth="1"/>
    <col min="14859" max="14859" width="14.09765625" style="5" customWidth="1"/>
    <col min="14860" max="14860" width="8.59765625" style="5" customWidth="1"/>
    <col min="14861" max="14864" width="14.09765625" style="5" customWidth="1"/>
    <col min="14865" max="14865" width="8.59765625" style="5" customWidth="1"/>
    <col min="14866" max="14866" width="14.09765625" style="5" customWidth="1"/>
    <col min="14867" max="14867" width="8.59765625" style="5" customWidth="1"/>
    <col min="14868" max="14871" width="14.09765625" style="5" customWidth="1"/>
    <col min="14872" max="14872" width="8.59765625" style="5" customWidth="1"/>
    <col min="14873" max="14873" width="14.09765625" style="5" customWidth="1"/>
    <col min="14874" max="14874" width="8.59765625" style="5" customWidth="1"/>
    <col min="14875" max="14878" width="14.09765625" style="5" customWidth="1"/>
    <col min="14879" max="14879" width="21" style="5" customWidth="1"/>
    <col min="14880" max="14880" width="17.59765625" style="5" bestFit="1" customWidth="1"/>
    <col min="14881" max="14881" width="8.59765625" style="5" customWidth="1"/>
    <col min="14882" max="14882" width="14.09765625" style="5" customWidth="1"/>
    <col min="14883" max="15104" width="5.3984375" style="5"/>
    <col min="15105" max="15105" width="10" style="5" bestFit="1" customWidth="1"/>
    <col min="15106" max="15106" width="7.69921875" style="5" bestFit="1" customWidth="1"/>
    <col min="15107" max="15107" width="8.59765625" style="5" customWidth="1"/>
    <col min="15108" max="15108" width="14.09765625" style="5" customWidth="1"/>
    <col min="15109" max="15109" width="8.59765625" style="5" customWidth="1"/>
    <col min="15110" max="15113" width="14.09765625" style="5" customWidth="1"/>
    <col min="15114" max="15114" width="8.59765625" style="5" customWidth="1"/>
    <col min="15115" max="15115" width="14.09765625" style="5" customWidth="1"/>
    <col min="15116" max="15116" width="8.59765625" style="5" customWidth="1"/>
    <col min="15117" max="15120" width="14.09765625" style="5" customWidth="1"/>
    <col min="15121" max="15121" width="8.59765625" style="5" customWidth="1"/>
    <col min="15122" max="15122" width="14.09765625" style="5" customWidth="1"/>
    <col min="15123" max="15123" width="8.59765625" style="5" customWidth="1"/>
    <col min="15124" max="15127" width="14.09765625" style="5" customWidth="1"/>
    <col min="15128" max="15128" width="8.59765625" style="5" customWidth="1"/>
    <col min="15129" max="15129" width="14.09765625" style="5" customWidth="1"/>
    <col min="15130" max="15130" width="8.59765625" style="5" customWidth="1"/>
    <col min="15131" max="15134" width="14.09765625" style="5" customWidth="1"/>
    <col min="15135" max="15135" width="21" style="5" customWidth="1"/>
    <col min="15136" max="15136" width="17.59765625" style="5" bestFit="1" customWidth="1"/>
    <col min="15137" max="15137" width="8.59765625" style="5" customWidth="1"/>
    <col min="15138" max="15138" width="14.09765625" style="5" customWidth="1"/>
    <col min="15139" max="15360" width="5.3984375" style="5"/>
    <col min="15361" max="15361" width="10" style="5" bestFit="1" customWidth="1"/>
    <col min="15362" max="15362" width="7.69921875" style="5" bestFit="1" customWidth="1"/>
    <col min="15363" max="15363" width="8.59765625" style="5" customWidth="1"/>
    <col min="15364" max="15364" width="14.09765625" style="5" customWidth="1"/>
    <col min="15365" max="15365" width="8.59765625" style="5" customWidth="1"/>
    <col min="15366" max="15369" width="14.09765625" style="5" customWidth="1"/>
    <col min="15370" max="15370" width="8.59765625" style="5" customWidth="1"/>
    <col min="15371" max="15371" width="14.09765625" style="5" customWidth="1"/>
    <col min="15372" max="15372" width="8.59765625" style="5" customWidth="1"/>
    <col min="15373" max="15376" width="14.09765625" style="5" customWidth="1"/>
    <col min="15377" max="15377" width="8.59765625" style="5" customWidth="1"/>
    <col min="15378" max="15378" width="14.09765625" style="5" customWidth="1"/>
    <col min="15379" max="15379" width="8.59765625" style="5" customWidth="1"/>
    <col min="15380" max="15383" width="14.09765625" style="5" customWidth="1"/>
    <col min="15384" max="15384" width="8.59765625" style="5" customWidth="1"/>
    <col min="15385" max="15385" width="14.09765625" style="5" customWidth="1"/>
    <col min="15386" max="15386" width="8.59765625" style="5" customWidth="1"/>
    <col min="15387" max="15390" width="14.09765625" style="5" customWidth="1"/>
    <col min="15391" max="15391" width="21" style="5" customWidth="1"/>
    <col min="15392" max="15392" width="17.59765625" style="5" bestFit="1" customWidth="1"/>
    <col min="15393" max="15393" width="8.59765625" style="5" customWidth="1"/>
    <col min="15394" max="15394" width="14.09765625" style="5" customWidth="1"/>
    <col min="15395" max="15616" width="5.3984375" style="5"/>
    <col min="15617" max="15617" width="10" style="5" bestFit="1" customWidth="1"/>
    <col min="15618" max="15618" width="7.69921875" style="5" bestFit="1" customWidth="1"/>
    <col min="15619" max="15619" width="8.59765625" style="5" customWidth="1"/>
    <col min="15620" max="15620" width="14.09765625" style="5" customWidth="1"/>
    <col min="15621" max="15621" width="8.59765625" style="5" customWidth="1"/>
    <col min="15622" max="15625" width="14.09765625" style="5" customWidth="1"/>
    <col min="15626" max="15626" width="8.59765625" style="5" customWidth="1"/>
    <col min="15627" max="15627" width="14.09765625" style="5" customWidth="1"/>
    <col min="15628" max="15628" width="8.59765625" style="5" customWidth="1"/>
    <col min="15629" max="15632" width="14.09765625" style="5" customWidth="1"/>
    <col min="15633" max="15633" width="8.59765625" style="5" customWidth="1"/>
    <col min="15634" max="15634" width="14.09765625" style="5" customWidth="1"/>
    <col min="15635" max="15635" width="8.59765625" style="5" customWidth="1"/>
    <col min="15636" max="15639" width="14.09765625" style="5" customWidth="1"/>
    <col min="15640" max="15640" width="8.59765625" style="5" customWidth="1"/>
    <col min="15641" max="15641" width="14.09765625" style="5" customWidth="1"/>
    <col min="15642" max="15642" width="8.59765625" style="5" customWidth="1"/>
    <col min="15643" max="15646" width="14.09765625" style="5" customWidth="1"/>
    <col min="15647" max="15647" width="21" style="5" customWidth="1"/>
    <col min="15648" max="15648" width="17.59765625" style="5" bestFit="1" customWidth="1"/>
    <col min="15649" max="15649" width="8.59765625" style="5" customWidth="1"/>
    <col min="15650" max="15650" width="14.09765625" style="5" customWidth="1"/>
    <col min="15651" max="15872" width="5.3984375" style="5"/>
    <col min="15873" max="15873" width="10" style="5" bestFit="1" customWidth="1"/>
    <col min="15874" max="15874" width="7.69921875" style="5" bestFit="1" customWidth="1"/>
    <col min="15875" max="15875" width="8.59765625" style="5" customWidth="1"/>
    <col min="15876" max="15876" width="14.09765625" style="5" customWidth="1"/>
    <col min="15877" max="15877" width="8.59765625" style="5" customWidth="1"/>
    <col min="15878" max="15881" width="14.09765625" style="5" customWidth="1"/>
    <col min="15882" max="15882" width="8.59765625" style="5" customWidth="1"/>
    <col min="15883" max="15883" width="14.09765625" style="5" customWidth="1"/>
    <col min="15884" max="15884" width="8.59765625" style="5" customWidth="1"/>
    <col min="15885" max="15888" width="14.09765625" style="5" customWidth="1"/>
    <col min="15889" max="15889" width="8.59765625" style="5" customWidth="1"/>
    <col min="15890" max="15890" width="14.09765625" style="5" customWidth="1"/>
    <col min="15891" max="15891" width="8.59765625" style="5" customWidth="1"/>
    <col min="15892" max="15895" width="14.09765625" style="5" customWidth="1"/>
    <col min="15896" max="15896" width="8.59765625" style="5" customWidth="1"/>
    <col min="15897" max="15897" width="14.09765625" style="5" customWidth="1"/>
    <col min="15898" max="15898" width="8.59765625" style="5" customWidth="1"/>
    <col min="15899" max="15902" width="14.09765625" style="5" customWidth="1"/>
    <col min="15903" max="15903" width="21" style="5" customWidth="1"/>
    <col min="15904" max="15904" width="17.59765625" style="5" bestFit="1" customWidth="1"/>
    <col min="15905" max="15905" width="8.59765625" style="5" customWidth="1"/>
    <col min="15906" max="15906" width="14.09765625" style="5" customWidth="1"/>
    <col min="15907" max="16128" width="5.3984375" style="5"/>
    <col min="16129" max="16129" width="10" style="5" bestFit="1" customWidth="1"/>
    <col min="16130" max="16130" width="7.69921875" style="5" bestFit="1" customWidth="1"/>
    <col min="16131" max="16131" width="8.59765625" style="5" customWidth="1"/>
    <col min="16132" max="16132" width="14.09765625" style="5" customWidth="1"/>
    <col min="16133" max="16133" width="8.59765625" style="5" customWidth="1"/>
    <col min="16134" max="16137" width="14.09765625" style="5" customWidth="1"/>
    <col min="16138" max="16138" width="8.59765625" style="5" customWidth="1"/>
    <col min="16139" max="16139" width="14.09765625" style="5" customWidth="1"/>
    <col min="16140" max="16140" width="8.59765625" style="5" customWidth="1"/>
    <col min="16141" max="16144" width="14.09765625" style="5" customWidth="1"/>
    <col min="16145" max="16145" width="8.59765625" style="5" customWidth="1"/>
    <col min="16146" max="16146" width="14.09765625" style="5" customWidth="1"/>
    <col min="16147" max="16147" width="8.59765625" style="5" customWidth="1"/>
    <col min="16148" max="16151" width="14.09765625" style="5" customWidth="1"/>
    <col min="16152" max="16152" width="8.59765625" style="5" customWidth="1"/>
    <col min="16153" max="16153" width="14.09765625" style="5" customWidth="1"/>
    <col min="16154" max="16154" width="8.59765625" style="5" customWidth="1"/>
    <col min="16155" max="16158" width="14.09765625" style="5" customWidth="1"/>
    <col min="16159" max="16159" width="21" style="5" customWidth="1"/>
    <col min="16160" max="16160" width="17.59765625" style="5" bestFit="1" customWidth="1"/>
    <col min="16161" max="16161" width="8.59765625" style="5" customWidth="1"/>
    <col min="16162" max="16162" width="14.09765625" style="5" customWidth="1"/>
    <col min="16163" max="16384" width="5.3984375" style="5"/>
  </cols>
  <sheetData>
    <row r="1" spans="1:36" ht="18" x14ac:dyDescent="0.45">
      <c r="A1" s="1" t="s">
        <v>0</v>
      </c>
      <c r="B1" s="1" t="s">
        <v>1</v>
      </c>
      <c r="D1" s="3" t="s">
        <v>2</v>
      </c>
      <c r="E1" s="56" t="s">
        <v>3</v>
      </c>
      <c r="F1" s="57"/>
      <c r="G1" s="57"/>
      <c r="H1" s="57"/>
      <c r="I1" s="4" t="s">
        <v>4</v>
      </c>
    </row>
    <row r="2" spans="1:36" ht="26.4" x14ac:dyDescent="0.45">
      <c r="A2" s="6">
        <v>2026</v>
      </c>
      <c r="B2" s="6">
        <v>5</v>
      </c>
      <c r="C2" s="7"/>
      <c r="D2" s="8">
        <v>411089</v>
      </c>
      <c r="E2" s="58" t="s">
        <v>5</v>
      </c>
      <c r="F2" s="59"/>
      <c r="G2" s="59"/>
      <c r="H2" s="59"/>
      <c r="I2" s="9" t="s">
        <v>6</v>
      </c>
    </row>
    <row r="3" spans="1:36" s="10" customFormat="1" ht="63.75" customHeight="1" x14ac:dyDescent="0.45">
      <c r="A3" s="60" t="s">
        <v>7</v>
      </c>
      <c r="B3" s="61"/>
      <c r="C3" s="60" t="s">
        <v>8</v>
      </c>
      <c r="D3" s="62"/>
      <c r="E3" s="62"/>
      <c r="F3" s="62"/>
      <c r="G3" s="62"/>
      <c r="H3" s="62"/>
      <c r="I3" s="62"/>
      <c r="J3" s="60" t="s">
        <v>9</v>
      </c>
      <c r="K3" s="62"/>
      <c r="L3" s="62"/>
      <c r="M3" s="62"/>
      <c r="N3" s="62"/>
      <c r="O3" s="62"/>
      <c r="P3" s="61"/>
      <c r="Q3" s="63" t="s">
        <v>10</v>
      </c>
      <c r="R3" s="84"/>
      <c r="S3" s="84"/>
      <c r="T3" s="84"/>
      <c r="U3" s="84"/>
      <c r="V3" s="84"/>
      <c r="W3" s="85"/>
      <c r="X3" s="63" t="s">
        <v>11</v>
      </c>
      <c r="Y3" s="62"/>
      <c r="Z3" s="62"/>
      <c r="AA3" s="62"/>
      <c r="AB3" s="62"/>
      <c r="AC3" s="62"/>
      <c r="AD3" s="61"/>
      <c r="AE3" s="64" t="s">
        <v>12</v>
      </c>
      <c r="AF3" s="64" t="s">
        <v>13</v>
      </c>
      <c r="AG3" s="67" t="s">
        <v>14</v>
      </c>
      <c r="AH3" s="68"/>
    </row>
    <row r="4" spans="1:36" s="11" customFormat="1" ht="21" customHeight="1" x14ac:dyDescent="0.45">
      <c r="A4" s="73" t="s">
        <v>15</v>
      </c>
      <c r="B4" s="74"/>
      <c r="C4" s="75" t="s">
        <v>16</v>
      </c>
      <c r="D4" s="76"/>
      <c r="E4" s="76"/>
      <c r="F4" s="76"/>
      <c r="G4" s="76"/>
      <c r="H4" s="76"/>
      <c r="I4" s="76"/>
      <c r="J4" s="77" t="s">
        <v>17</v>
      </c>
      <c r="K4" s="57"/>
      <c r="L4" s="57"/>
      <c r="M4" s="57"/>
      <c r="N4" s="57"/>
      <c r="O4" s="57"/>
      <c r="P4" s="78"/>
      <c r="Q4" s="77" t="s">
        <v>18</v>
      </c>
      <c r="R4" s="75"/>
      <c r="S4" s="75"/>
      <c r="T4" s="75"/>
      <c r="U4" s="75"/>
      <c r="V4" s="75"/>
      <c r="W4" s="79"/>
      <c r="X4" s="77" t="s">
        <v>19</v>
      </c>
      <c r="Y4" s="80"/>
      <c r="Z4" s="80"/>
      <c r="AA4" s="80"/>
      <c r="AB4" s="80"/>
      <c r="AC4" s="80"/>
      <c r="AD4" s="81"/>
      <c r="AE4" s="65"/>
      <c r="AF4" s="65"/>
      <c r="AG4" s="69"/>
      <c r="AH4" s="70"/>
    </row>
    <row r="5" spans="1:36" s="11" customFormat="1" ht="21" customHeight="1" x14ac:dyDescent="0.45">
      <c r="A5" s="82" t="s">
        <v>20</v>
      </c>
      <c r="B5" s="83"/>
      <c r="C5" s="93">
        <v>29700</v>
      </c>
      <c r="D5" s="94"/>
      <c r="E5" s="86" t="s">
        <v>21</v>
      </c>
      <c r="F5" s="12">
        <v>1600</v>
      </c>
      <c r="G5" s="88" t="s">
        <v>22</v>
      </c>
      <c r="H5" s="88" t="s">
        <v>23</v>
      </c>
      <c r="I5" s="91" t="s">
        <v>24</v>
      </c>
      <c r="J5" s="93">
        <v>27720</v>
      </c>
      <c r="K5" s="94"/>
      <c r="L5" s="86" t="s">
        <v>21</v>
      </c>
      <c r="M5" s="12">
        <v>1600</v>
      </c>
      <c r="N5" s="88" t="s">
        <v>22</v>
      </c>
      <c r="O5" s="88" t="s">
        <v>23</v>
      </c>
      <c r="P5" s="91" t="s">
        <v>24</v>
      </c>
      <c r="Q5" s="93">
        <v>29700</v>
      </c>
      <c r="R5" s="94"/>
      <c r="S5" s="86" t="s">
        <v>21</v>
      </c>
      <c r="T5" s="12">
        <v>1600</v>
      </c>
      <c r="U5" s="88" t="s">
        <v>22</v>
      </c>
      <c r="V5" s="88"/>
      <c r="W5" s="91" t="s">
        <v>24</v>
      </c>
      <c r="X5" s="93">
        <v>25740</v>
      </c>
      <c r="Y5" s="94"/>
      <c r="Z5" s="86" t="s">
        <v>21</v>
      </c>
      <c r="AA5" s="12">
        <v>1600</v>
      </c>
      <c r="AB5" s="88" t="s">
        <v>22</v>
      </c>
      <c r="AC5" s="88" t="s">
        <v>23</v>
      </c>
      <c r="AD5" s="91" t="s">
        <v>24</v>
      </c>
      <c r="AE5" s="65"/>
      <c r="AF5" s="65"/>
      <c r="AG5" s="71"/>
      <c r="AH5" s="72"/>
      <c r="AI5" s="13"/>
      <c r="AJ5" s="14"/>
    </row>
    <row r="6" spans="1:36" ht="21" customHeight="1" thickBot="1" x14ac:dyDescent="0.5">
      <c r="A6" s="15" t="s">
        <v>25</v>
      </c>
      <c r="B6" s="15" t="s">
        <v>26</v>
      </c>
      <c r="C6" s="16" t="s">
        <v>27</v>
      </c>
      <c r="D6" s="17" t="s">
        <v>28</v>
      </c>
      <c r="E6" s="87"/>
      <c r="F6" s="18" t="s">
        <v>29</v>
      </c>
      <c r="G6" s="89"/>
      <c r="H6" s="90"/>
      <c r="I6" s="92"/>
      <c r="J6" s="16" t="s">
        <v>27</v>
      </c>
      <c r="K6" s="17" t="s">
        <v>28</v>
      </c>
      <c r="L6" s="87"/>
      <c r="M6" s="18" t="s">
        <v>29</v>
      </c>
      <c r="N6" s="89"/>
      <c r="O6" s="90"/>
      <c r="P6" s="92"/>
      <c r="Q6" s="16" t="s">
        <v>27</v>
      </c>
      <c r="R6" s="17" t="s">
        <v>28</v>
      </c>
      <c r="S6" s="87"/>
      <c r="T6" s="18" t="s">
        <v>29</v>
      </c>
      <c r="U6" s="89"/>
      <c r="V6" s="90"/>
      <c r="W6" s="92"/>
      <c r="X6" s="16" t="s">
        <v>27</v>
      </c>
      <c r="Y6" s="17" t="s">
        <v>28</v>
      </c>
      <c r="Z6" s="87"/>
      <c r="AA6" s="18" t="s">
        <v>29</v>
      </c>
      <c r="AB6" s="89"/>
      <c r="AC6" s="90"/>
      <c r="AD6" s="92"/>
      <c r="AE6" s="66"/>
      <c r="AF6" s="66"/>
      <c r="AG6" s="19" t="s">
        <v>27</v>
      </c>
      <c r="AH6" s="18" t="s">
        <v>30</v>
      </c>
    </row>
    <row r="7" spans="1:36" ht="18" thickTop="1" x14ac:dyDescent="0.45">
      <c r="A7" s="20">
        <f>DATE($A$2,$B$2,1)</f>
        <v>46143</v>
      </c>
      <c r="B7" s="20" t="str">
        <f>TEXT(A7,"aaa")</f>
        <v>金</v>
      </c>
      <c r="C7" s="21">
        <v>1</v>
      </c>
      <c r="D7" s="22">
        <f t="shared" ref="D7:D37" si="0">IF(A7="","",$C$5*C7)</f>
        <v>29700</v>
      </c>
      <c r="E7" s="23">
        <v>0</v>
      </c>
      <c r="F7" s="24">
        <f t="shared" ref="F7:F37" si="1">IF(A7="","",$F$5*E7)</f>
        <v>0</v>
      </c>
      <c r="G7" s="25">
        <f>SUM(D7+F7)</f>
        <v>29700</v>
      </c>
      <c r="H7" s="26">
        <v>7750</v>
      </c>
      <c r="I7" s="25">
        <f>IF(A7="","",G7+H7)</f>
        <v>37450</v>
      </c>
      <c r="J7" s="23">
        <v>1</v>
      </c>
      <c r="K7" s="27">
        <f t="shared" ref="K7:K37" si="2">IF(A7="","",$J$5*J7)</f>
        <v>27720</v>
      </c>
      <c r="L7" s="23">
        <v>0</v>
      </c>
      <c r="M7" s="24">
        <f t="shared" ref="M7:M14" si="3">IF(A7="","",$M$5*L7)</f>
        <v>0</v>
      </c>
      <c r="N7" s="25">
        <f>SUM(K7+M7)</f>
        <v>27720</v>
      </c>
      <c r="O7" s="28">
        <v>4110</v>
      </c>
      <c r="P7" s="25">
        <f>IF(A7="","",N7+O7)</f>
        <v>31830</v>
      </c>
      <c r="Q7" s="23">
        <v>1</v>
      </c>
      <c r="R7" s="27">
        <f t="shared" ref="R7:R37" si="4">IF(A7="","",$Q$5*Q7)</f>
        <v>29700</v>
      </c>
      <c r="S7" s="23">
        <v>0</v>
      </c>
      <c r="T7" s="24">
        <f t="shared" ref="T7:T37" si="5">IF(A7="","",$T$5*S7)</f>
        <v>0</v>
      </c>
      <c r="U7" s="25">
        <f>SUM(R7+T7)</f>
        <v>29700</v>
      </c>
      <c r="V7" s="26">
        <v>1600</v>
      </c>
      <c r="W7" s="25">
        <f>IF(A7="","",U7+V7)</f>
        <v>31300</v>
      </c>
      <c r="X7" s="34">
        <v>2</v>
      </c>
      <c r="Y7" s="27">
        <v>53460</v>
      </c>
      <c r="Z7" s="23">
        <v>0</v>
      </c>
      <c r="AA7" s="24">
        <f>IF(A7="","",$AA$5*Z7)</f>
        <v>0</v>
      </c>
      <c r="AB7" s="25">
        <f t="shared" ref="AB7:AB36" si="6">SUM(Y7+AA7)</f>
        <v>53460</v>
      </c>
      <c r="AC7" s="40">
        <v>3020</v>
      </c>
      <c r="AD7" s="25">
        <f>IF(A7="","",AB7+AC7)</f>
        <v>56480</v>
      </c>
      <c r="AE7" s="29">
        <f>D7+F7+K7+M7+R7+T7+Y7+AA7</f>
        <v>140580</v>
      </c>
      <c r="AF7" s="29">
        <f>H7+O7+V7+AC7</f>
        <v>16480</v>
      </c>
      <c r="AG7" s="30">
        <f>IF(A7="","",X7+Q7+J7+C7)</f>
        <v>5</v>
      </c>
      <c r="AH7" s="31">
        <f>SUM(AE7:AF7)</f>
        <v>157060</v>
      </c>
    </row>
    <row r="8" spans="1:36" x14ac:dyDescent="0.45">
      <c r="A8" s="20">
        <f>IF(A7="","",IF(MONTH(A7+1)=$B$2,A7+1,""))</f>
        <v>46144</v>
      </c>
      <c r="B8" s="32" t="str">
        <f t="shared" ref="B8:B37" si="7">TEXT(A8,"aaa")</f>
        <v>土</v>
      </c>
      <c r="C8" s="33">
        <v>1</v>
      </c>
      <c r="D8" s="22">
        <f t="shared" si="0"/>
        <v>29700</v>
      </c>
      <c r="E8" s="34">
        <v>0</v>
      </c>
      <c r="F8" s="24">
        <f t="shared" si="1"/>
        <v>0</v>
      </c>
      <c r="G8" s="25">
        <f t="shared" ref="G8:G37" si="8">SUM(D8+F8)</f>
        <v>29700</v>
      </c>
      <c r="H8" s="35">
        <v>6190</v>
      </c>
      <c r="I8" s="25">
        <f t="shared" ref="I8:I37" si="9">IF(A8="","",G8+H8)</f>
        <v>35890</v>
      </c>
      <c r="J8" s="34">
        <v>1</v>
      </c>
      <c r="K8" s="27">
        <f t="shared" si="2"/>
        <v>27720</v>
      </c>
      <c r="L8" s="34">
        <v>0</v>
      </c>
      <c r="M8" s="24">
        <f t="shared" si="3"/>
        <v>0</v>
      </c>
      <c r="N8" s="25">
        <f t="shared" ref="N8:N37" si="10">SUM(K8+M8)</f>
        <v>27720</v>
      </c>
      <c r="O8" s="36">
        <v>4350</v>
      </c>
      <c r="P8" s="25">
        <f t="shared" ref="P8:P37" si="11">IF(A8="","",N8+O8)</f>
        <v>32070</v>
      </c>
      <c r="Q8" s="34">
        <v>1</v>
      </c>
      <c r="R8" s="27">
        <f t="shared" si="4"/>
        <v>29700</v>
      </c>
      <c r="S8" s="34">
        <v>0</v>
      </c>
      <c r="T8" s="24">
        <f t="shared" si="5"/>
        <v>0</v>
      </c>
      <c r="U8" s="25">
        <f t="shared" ref="U8:U37" si="12">SUM(R8+T8)</f>
        <v>29700</v>
      </c>
      <c r="V8" s="35">
        <v>3210</v>
      </c>
      <c r="W8" s="25">
        <f>IF(A8="","",U8+V8)</f>
        <v>32910</v>
      </c>
      <c r="X8" s="34">
        <v>1</v>
      </c>
      <c r="Y8" s="27">
        <f t="shared" ref="Y8:Y37" si="13">IF(A8="","",$X$5*X8)</f>
        <v>25740</v>
      </c>
      <c r="Z8" s="34">
        <v>0</v>
      </c>
      <c r="AA8" s="24">
        <f t="shared" ref="AA8:AB37" si="14">IF(A8="","",$AA$5*Z8)</f>
        <v>0</v>
      </c>
      <c r="AB8" s="25">
        <f t="shared" si="6"/>
        <v>25740</v>
      </c>
      <c r="AC8" s="40">
        <v>3220</v>
      </c>
      <c r="AD8" s="25">
        <f t="shared" ref="AD8:AD37" si="15">IF(A8="","",AB8+AC8)</f>
        <v>28960</v>
      </c>
      <c r="AE8" s="29">
        <f t="shared" ref="AE8:AE37" si="16">D8+F8+K8+M8+R8+T8+Y8+AA8</f>
        <v>112860</v>
      </c>
      <c r="AF8" s="29">
        <f t="shared" ref="AF8:AF37" si="17">H8+O8+V8+AC8</f>
        <v>16970</v>
      </c>
      <c r="AG8" s="37">
        <f>IF(A8="","",X8+Q8+J8+C8)</f>
        <v>4</v>
      </c>
      <c r="AH8" s="31">
        <f t="shared" ref="AH8:AH37" si="18">SUM(AE8:AF8)</f>
        <v>129830</v>
      </c>
    </row>
    <row r="9" spans="1:36" x14ac:dyDescent="0.45">
      <c r="A9" s="20">
        <f t="shared" ref="A9:A37" si="19">IF(A8="","",IF(MONTH(A8+1)=$B$2,A8+1,""))</f>
        <v>46145</v>
      </c>
      <c r="B9" s="32" t="str">
        <f t="shared" si="7"/>
        <v>日</v>
      </c>
      <c r="C9" s="33"/>
      <c r="D9" s="22">
        <f t="shared" si="0"/>
        <v>0</v>
      </c>
      <c r="E9" s="34"/>
      <c r="F9" s="24">
        <f t="shared" si="1"/>
        <v>0</v>
      </c>
      <c r="G9" s="25">
        <f t="shared" si="8"/>
        <v>0</v>
      </c>
      <c r="H9" s="35"/>
      <c r="I9" s="25">
        <f t="shared" si="9"/>
        <v>0</v>
      </c>
      <c r="J9" s="34"/>
      <c r="K9" s="27">
        <f t="shared" si="2"/>
        <v>0</v>
      </c>
      <c r="L9" s="34"/>
      <c r="M9" s="24">
        <f>IF(A9="","",$M$5*L9)</f>
        <v>0</v>
      </c>
      <c r="N9" s="25">
        <f t="shared" si="10"/>
        <v>0</v>
      </c>
      <c r="O9" s="36"/>
      <c r="P9" s="25">
        <f t="shared" si="11"/>
        <v>0</v>
      </c>
      <c r="Q9" s="34"/>
      <c r="R9" s="27">
        <f t="shared" si="4"/>
        <v>0</v>
      </c>
      <c r="S9" s="34"/>
      <c r="T9" s="24">
        <f t="shared" si="5"/>
        <v>0</v>
      </c>
      <c r="U9" s="25">
        <f t="shared" si="12"/>
        <v>0</v>
      </c>
      <c r="V9" s="35"/>
      <c r="W9" s="25">
        <f t="shared" ref="W9:W37" si="20">IF(A9="","",U9+V9)</f>
        <v>0</v>
      </c>
      <c r="X9" s="34"/>
      <c r="Y9" s="27">
        <f t="shared" si="13"/>
        <v>0</v>
      </c>
      <c r="Z9" s="34"/>
      <c r="AA9" s="24">
        <f t="shared" si="14"/>
        <v>0</v>
      </c>
      <c r="AB9" s="25">
        <f t="shared" si="6"/>
        <v>0</v>
      </c>
      <c r="AC9" s="40"/>
      <c r="AD9" s="25">
        <f t="shared" si="15"/>
        <v>0</v>
      </c>
      <c r="AE9" s="29">
        <f t="shared" si="16"/>
        <v>0</v>
      </c>
      <c r="AF9" s="29">
        <f t="shared" si="17"/>
        <v>0</v>
      </c>
      <c r="AG9" s="37">
        <f t="shared" ref="AG9:AG37" si="21">IF(A9="","",X9+Q9+J9+C9)</f>
        <v>0</v>
      </c>
      <c r="AH9" s="31">
        <f t="shared" si="18"/>
        <v>0</v>
      </c>
    </row>
    <row r="10" spans="1:36" x14ac:dyDescent="0.45">
      <c r="A10" s="20">
        <f t="shared" si="19"/>
        <v>46146</v>
      </c>
      <c r="B10" s="32" t="str">
        <f t="shared" si="7"/>
        <v>月</v>
      </c>
      <c r="C10" s="33">
        <v>1</v>
      </c>
      <c r="D10" s="22">
        <f t="shared" si="0"/>
        <v>29700</v>
      </c>
      <c r="E10" s="34">
        <v>0</v>
      </c>
      <c r="F10" s="24">
        <f t="shared" si="1"/>
        <v>0</v>
      </c>
      <c r="G10" s="25">
        <f t="shared" si="8"/>
        <v>29700</v>
      </c>
      <c r="H10" s="35">
        <v>6480</v>
      </c>
      <c r="I10" s="25">
        <f t="shared" si="9"/>
        <v>36180</v>
      </c>
      <c r="J10" s="34">
        <v>1</v>
      </c>
      <c r="K10" s="27">
        <f t="shared" si="2"/>
        <v>27720</v>
      </c>
      <c r="L10" s="34">
        <v>0</v>
      </c>
      <c r="M10" s="24">
        <f t="shared" si="3"/>
        <v>0</v>
      </c>
      <c r="N10" s="25">
        <f t="shared" si="10"/>
        <v>27720</v>
      </c>
      <c r="O10" s="36">
        <v>4230</v>
      </c>
      <c r="P10" s="25">
        <f t="shared" si="11"/>
        <v>31950</v>
      </c>
      <c r="Q10" s="34">
        <v>1</v>
      </c>
      <c r="R10" s="27">
        <f t="shared" si="4"/>
        <v>29700</v>
      </c>
      <c r="S10" s="34">
        <v>0</v>
      </c>
      <c r="T10" s="24">
        <f t="shared" si="5"/>
        <v>0</v>
      </c>
      <c r="U10" s="25">
        <f t="shared" si="12"/>
        <v>29700</v>
      </c>
      <c r="V10" s="35">
        <v>3740</v>
      </c>
      <c r="W10" s="25">
        <f t="shared" si="20"/>
        <v>33440</v>
      </c>
      <c r="X10" s="34"/>
      <c r="Y10" s="27">
        <f t="shared" si="13"/>
        <v>0</v>
      </c>
      <c r="Z10" s="34"/>
      <c r="AA10" s="24">
        <f t="shared" si="14"/>
        <v>0</v>
      </c>
      <c r="AB10" s="25">
        <f t="shared" si="6"/>
        <v>0</v>
      </c>
      <c r="AC10" s="40"/>
      <c r="AD10" s="25">
        <f t="shared" si="15"/>
        <v>0</v>
      </c>
      <c r="AE10" s="29">
        <f t="shared" si="16"/>
        <v>87120</v>
      </c>
      <c r="AF10" s="29">
        <f t="shared" si="17"/>
        <v>14450</v>
      </c>
      <c r="AG10" s="37">
        <f t="shared" si="21"/>
        <v>3</v>
      </c>
      <c r="AH10" s="31">
        <f t="shared" si="18"/>
        <v>101570</v>
      </c>
    </row>
    <row r="11" spans="1:36" x14ac:dyDescent="0.45">
      <c r="A11" s="20">
        <f t="shared" si="19"/>
        <v>46147</v>
      </c>
      <c r="B11" s="32" t="str">
        <f t="shared" si="7"/>
        <v>火</v>
      </c>
      <c r="C11" s="33">
        <v>1</v>
      </c>
      <c r="D11" s="22">
        <f t="shared" ref="D11" si="22">IF(A11="","",$C$5*C11)</f>
        <v>29700</v>
      </c>
      <c r="E11" s="34">
        <v>0</v>
      </c>
      <c r="F11" s="24">
        <f t="shared" ref="F11" si="23">IF(A11="","",$F$5*E11)</f>
        <v>0</v>
      </c>
      <c r="G11" s="25">
        <f t="shared" ref="G11" si="24">SUM(D11+F11)</f>
        <v>29700</v>
      </c>
      <c r="H11" s="35">
        <v>6200</v>
      </c>
      <c r="I11" s="25">
        <f t="shared" ref="I11" si="25">IF(A11="","",G11+H11)</f>
        <v>35900</v>
      </c>
      <c r="J11" s="34">
        <v>1</v>
      </c>
      <c r="K11" s="27">
        <f t="shared" ref="K11" si="26">IF(A11="","",$J$5*J11)</f>
        <v>27720</v>
      </c>
      <c r="L11" s="34">
        <v>0</v>
      </c>
      <c r="M11" s="24">
        <f t="shared" ref="M11" si="27">IF(A11="","",$M$5*L11)</f>
        <v>0</v>
      </c>
      <c r="N11" s="25">
        <f t="shared" ref="N11" si="28">SUM(K11+M11)</f>
        <v>27720</v>
      </c>
      <c r="O11" s="36">
        <v>4950</v>
      </c>
      <c r="P11" s="25">
        <f t="shared" ref="P11" si="29">IF(A11="","",N11+O11)</f>
        <v>32670</v>
      </c>
      <c r="Q11" s="34">
        <v>1</v>
      </c>
      <c r="R11" s="27">
        <f>IF(A11="","",$Q$5*Q11)</f>
        <v>29700</v>
      </c>
      <c r="S11" s="34">
        <v>0</v>
      </c>
      <c r="T11" s="24">
        <f t="shared" ref="T11" si="30">IF(A11="","",$T$5*S11)</f>
        <v>0</v>
      </c>
      <c r="U11" s="25">
        <f t="shared" ref="U11" si="31">SUM(R11+T11)</f>
        <v>29700</v>
      </c>
      <c r="V11" s="35">
        <v>1600</v>
      </c>
      <c r="W11" s="25">
        <f t="shared" ref="W11" si="32">IF(A11="","",U11+V11)</f>
        <v>31300</v>
      </c>
      <c r="X11" s="34"/>
      <c r="Y11" s="27">
        <f t="shared" si="13"/>
        <v>0</v>
      </c>
      <c r="Z11" s="34"/>
      <c r="AA11" s="24">
        <f t="shared" si="14"/>
        <v>0</v>
      </c>
      <c r="AB11" s="25">
        <f t="shared" si="6"/>
        <v>0</v>
      </c>
      <c r="AC11" s="40"/>
      <c r="AD11" s="25">
        <f t="shared" si="15"/>
        <v>0</v>
      </c>
      <c r="AE11" s="29">
        <f t="shared" si="16"/>
        <v>87120</v>
      </c>
      <c r="AF11" s="29">
        <f t="shared" si="17"/>
        <v>12750</v>
      </c>
      <c r="AG11" s="37">
        <f t="shared" si="21"/>
        <v>3</v>
      </c>
      <c r="AH11" s="31">
        <f t="shared" si="18"/>
        <v>99870</v>
      </c>
    </row>
    <row r="12" spans="1:36" x14ac:dyDescent="0.45">
      <c r="A12" s="20">
        <f t="shared" si="19"/>
        <v>46148</v>
      </c>
      <c r="B12" s="32" t="str">
        <f t="shared" si="7"/>
        <v>水</v>
      </c>
      <c r="C12" s="33">
        <v>1</v>
      </c>
      <c r="D12" s="22">
        <f t="shared" si="0"/>
        <v>29700</v>
      </c>
      <c r="E12" s="34">
        <v>1.5</v>
      </c>
      <c r="F12" s="24">
        <f t="shared" si="1"/>
        <v>2400</v>
      </c>
      <c r="G12" s="25">
        <f t="shared" si="8"/>
        <v>32100</v>
      </c>
      <c r="H12" s="35">
        <v>7200</v>
      </c>
      <c r="I12" s="25">
        <f t="shared" si="9"/>
        <v>39300</v>
      </c>
      <c r="J12" s="34">
        <v>1</v>
      </c>
      <c r="K12" s="27">
        <f t="shared" si="2"/>
        <v>27720</v>
      </c>
      <c r="L12" s="34">
        <v>0</v>
      </c>
      <c r="M12" s="24">
        <f t="shared" si="3"/>
        <v>0</v>
      </c>
      <c r="N12" s="25">
        <f t="shared" si="10"/>
        <v>27720</v>
      </c>
      <c r="O12" s="36">
        <v>4230</v>
      </c>
      <c r="P12" s="25">
        <f t="shared" si="11"/>
        <v>31950</v>
      </c>
      <c r="Q12" s="34">
        <v>1</v>
      </c>
      <c r="R12" s="27">
        <f t="shared" si="4"/>
        <v>29700</v>
      </c>
      <c r="S12" s="34">
        <v>0</v>
      </c>
      <c r="T12" s="24">
        <f t="shared" si="5"/>
        <v>0</v>
      </c>
      <c r="U12" s="25">
        <f t="shared" si="12"/>
        <v>29700</v>
      </c>
      <c r="V12" s="35">
        <v>1600</v>
      </c>
      <c r="W12" s="25">
        <f t="shared" si="20"/>
        <v>31300</v>
      </c>
      <c r="X12" s="34"/>
      <c r="Y12" s="27">
        <f t="shared" si="13"/>
        <v>0</v>
      </c>
      <c r="Z12" s="34"/>
      <c r="AA12" s="24">
        <f t="shared" si="14"/>
        <v>0</v>
      </c>
      <c r="AB12" s="25">
        <f t="shared" si="6"/>
        <v>0</v>
      </c>
      <c r="AC12" s="40"/>
      <c r="AD12" s="25">
        <f t="shared" si="15"/>
        <v>0</v>
      </c>
      <c r="AE12" s="29">
        <f t="shared" si="16"/>
        <v>89520</v>
      </c>
      <c r="AF12" s="29">
        <f t="shared" si="17"/>
        <v>13030</v>
      </c>
      <c r="AG12" s="37">
        <f t="shared" si="21"/>
        <v>3</v>
      </c>
      <c r="AH12" s="31">
        <f t="shared" si="18"/>
        <v>102550</v>
      </c>
    </row>
    <row r="13" spans="1:36" x14ac:dyDescent="0.45">
      <c r="A13" s="20">
        <f t="shared" si="19"/>
        <v>46149</v>
      </c>
      <c r="B13" s="32" t="str">
        <f t="shared" si="7"/>
        <v>木</v>
      </c>
      <c r="C13" s="33">
        <v>1</v>
      </c>
      <c r="D13" s="22">
        <f t="shared" si="0"/>
        <v>29700</v>
      </c>
      <c r="E13" s="34">
        <v>1.5</v>
      </c>
      <c r="F13" s="24">
        <f t="shared" si="1"/>
        <v>2400</v>
      </c>
      <c r="G13" s="25">
        <f t="shared" si="8"/>
        <v>32100</v>
      </c>
      <c r="H13" s="35">
        <v>7200</v>
      </c>
      <c r="I13" s="25">
        <f t="shared" si="9"/>
        <v>39300</v>
      </c>
      <c r="J13" s="34">
        <v>1</v>
      </c>
      <c r="K13" s="27">
        <f t="shared" si="2"/>
        <v>27720</v>
      </c>
      <c r="L13" s="34">
        <v>0</v>
      </c>
      <c r="M13" s="24">
        <f t="shared" si="3"/>
        <v>0</v>
      </c>
      <c r="N13" s="25">
        <f t="shared" si="10"/>
        <v>27720</v>
      </c>
      <c r="O13" s="36">
        <v>4230</v>
      </c>
      <c r="P13" s="25">
        <f t="shared" si="11"/>
        <v>31950</v>
      </c>
      <c r="Q13" s="34">
        <v>1</v>
      </c>
      <c r="R13" s="27">
        <f t="shared" si="4"/>
        <v>29700</v>
      </c>
      <c r="S13" s="34">
        <v>0</v>
      </c>
      <c r="T13" s="24">
        <f t="shared" si="5"/>
        <v>0</v>
      </c>
      <c r="U13" s="25">
        <f t="shared" si="12"/>
        <v>29700</v>
      </c>
      <c r="V13" s="35">
        <v>1600</v>
      </c>
      <c r="W13" s="25">
        <f t="shared" si="20"/>
        <v>31300</v>
      </c>
      <c r="X13" s="34"/>
      <c r="Y13" s="27">
        <f t="shared" si="13"/>
        <v>0</v>
      </c>
      <c r="Z13" s="34"/>
      <c r="AA13" s="24">
        <f t="shared" si="14"/>
        <v>0</v>
      </c>
      <c r="AB13" s="25">
        <f t="shared" si="6"/>
        <v>0</v>
      </c>
      <c r="AC13" s="40"/>
      <c r="AD13" s="25">
        <f t="shared" si="15"/>
        <v>0</v>
      </c>
      <c r="AE13" s="29">
        <f t="shared" si="16"/>
        <v>89520</v>
      </c>
      <c r="AF13" s="29">
        <f t="shared" si="17"/>
        <v>13030</v>
      </c>
      <c r="AG13" s="37">
        <f t="shared" si="21"/>
        <v>3</v>
      </c>
      <c r="AH13" s="31">
        <f t="shared" si="18"/>
        <v>102550</v>
      </c>
    </row>
    <row r="14" spans="1:36" x14ac:dyDescent="0.45">
      <c r="A14" s="20">
        <f t="shared" si="19"/>
        <v>46150</v>
      </c>
      <c r="B14" s="32" t="str">
        <f t="shared" si="7"/>
        <v>金</v>
      </c>
      <c r="C14" s="33">
        <v>1</v>
      </c>
      <c r="D14" s="22">
        <f t="shared" si="0"/>
        <v>29700</v>
      </c>
      <c r="E14" s="34">
        <v>1</v>
      </c>
      <c r="F14" s="24">
        <f t="shared" si="1"/>
        <v>1600</v>
      </c>
      <c r="G14" s="25">
        <f t="shared" si="8"/>
        <v>31300</v>
      </c>
      <c r="H14" s="35">
        <v>6480</v>
      </c>
      <c r="I14" s="25">
        <f t="shared" si="9"/>
        <v>37780</v>
      </c>
      <c r="J14" s="34">
        <v>1</v>
      </c>
      <c r="K14" s="27">
        <f t="shared" si="2"/>
        <v>27720</v>
      </c>
      <c r="L14" s="34">
        <v>1</v>
      </c>
      <c r="M14" s="24">
        <f t="shared" si="3"/>
        <v>1600</v>
      </c>
      <c r="N14" s="25">
        <f t="shared" si="10"/>
        <v>29320</v>
      </c>
      <c r="O14" s="36">
        <v>4950</v>
      </c>
      <c r="P14" s="25">
        <f t="shared" si="11"/>
        <v>34270</v>
      </c>
      <c r="Q14" s="34">
        <v>1</v>
      </c>
      <c r="R14" s="27">
        <f t="shared" si="4"/>
        <v>29700</v>
      </c>
      <c r="S14" s="34">
        <v>0.5</v>
      </c>
      <c r="T14" s="24">
        <f t="shared" si="5"/>
        <v>800</v>
      </c>
      <c r="U14" s="25">
        <f t="shared" si="12"/>
        <v>30500</v>
      </c>
      <c r="V14" s="35">
        <v>3740</v>
      </c>
      <c r="W14" s="25">
        <f t="shared" si="20"/>
        <v>34240</v>
      </c>
      <c r="X14" s="34"/>
      <c r="Y14" s="27">
        <f t="shared" si="13"/>
        <v>0</v>
      </c>
      <c r="Z14" s="34"/>
      <c r="AA14" s="24">
        <f t="shared" si="14"/>
        <v>0</v>
      </c>
      <c r="AB14" s="25">
        <f t="shared" si="6"/>
        <v>0</v>
      </c>
      <c r="AC14" s="40"/>
      <c r="AD14" s="25">
        <f t="shared" si="15"/>
        <v>0</v>
      </c>
      <c r="AE14" s="29">
        <f t="shared" si="16"/>
        <v>91120</v>
      </c>
      <c r="AF14" s="29">
        <f t="shared" si="17"/>
        <v>15170</v>
      </c>
      <c r="AG14" s="37">
        <f t="shared" si="21"/>
        <v>3</v>
      </c>
      <c r="AH14" s="31">
        <f t="shared" si="18"/>
        <v>106290</v>
      </c>
    </row>
    <row r="15" spans="1:36" x14ac:dyDescent="0.45">
      <c r="A15" s="20">
        <f t="shared" si="19"/>
        <v>46151</v>
      </c>
      <c r="B15" s="32" t="str">
        <f t="shared" si="7"/>
        <v>土</v>
      </c>
      <c r="C15" s="33">
        <v>1</v>
      </c>
      <c r="D15" s="22">
        <f t="shared" si="0"/>
        <v>29700</v>
      </c>
      <c r="E15" s="34">
        <v>0</v>
      </c>
      <c r="F15" s="24">
        <f t="shared" si="1"/>
        <v>0</v>
      </c>
      <c r="G15" s="25">
        <f t="shared" si="8"/>
        <v>29700</v>
      </c>
      <c r="H15" s="35">
        <v>7030</v>
      </c>
      <c r="I15" s="25">
        <f t="shared" si="9"/>
        <v>36730</v>
      </c>
      <c r="J15" s="34">
        <v>1</v>
      </c>
      <c r="K15" s="27">
        <f t="shared" si="2"/>
        <v>27720</v>
      </c>
      <c r="L15" s="34">
        <v>0</v>
      </c>
      <c r="M15" s="24">
        <f>IF(A15="","",$M$5*L15)</f>
        <v>0</v>
      </c>
      <c r="N15" s="25">
        <f t="shared" si="10"/>
        <v>27720</v>
      </c>
      <c r="O15" s="36">
        <v>3790</v>
      </c>
      <c r="P15" s="25">
        <f t="shared" si="11"/>
        <v>31510</v>
      </c>
      <c r="Q15" s="34">
        <v>1</v>
      </c>
      <c r="R15" s="27">
        <f t="shared" si="4"/>
        <v>29700</v>
      </c>
      <c r="S15" s="34">
        <v>0</v>
      </c>
      <c r="T15" s="24">
        <f t="shared" si="5"/>
        <v>0</v>
      </c>
      <c r="U15" s="25">
        <f t="shared" si="12"/>
        <v>29700</v>
      </c>
      <c r="V15" s="35">
        <v>3740</v>
      </c>
      <c r="W15" s="25">
        <f>IF(A15="","",U15+V15)</f>
        <v>33440</v>
      </c>
      <c r="X15" s="34">
        <v>1</v>
      </c>
      <c r="Y15" s="27">
        <f t="shared" si="13"/>
        <v>25740</v>
      </c>
      <c r="Z15" s="34">
        <v>0</v>
      </c>
      <c r="AA15" s="24">
        <f t="shared" si="14"/>
        <v>0</v>
      </c>
      <c r="AB15" s="25">
        <f t="shared" si="6"/>
        <v>25740</v>
      </c>
      <c r="AC15" s="40">
        <v>3630</v>
      </c>
      <c r="AD15" s="25">
        <f t="shared" si="15"/>
        <v>29370</v>
      </c>
      <c r="AE15" s="29">
        <f t="shared" si="16"/>
        <v>112860</v>
      </c>
      <c r="AF15" s="29">
        <f t="shared" si="17"/>
        <v>18190</v>
      </c>
      <c r="AG15" s="37">
        <f t="shared" si="21"/>
        <v>4</v>
      </c>
      <c r="AH15" s="31">
        <f t="shared" si="18"/>
        <v>131050</v>
      </c>
    </row>
    <row r="16" spans="1:36" x14ac:dyDescent="0.45">
      <c r="A16" s="20">
        <f t="shared" si="19"/>
        <v>46152</v>
      </c>
      <c r="B16" s="32" t="str">
        <f t="shared" si="7"/>
        <v>日</v>
      </c>
      <c r="C16" s="33"/>
      <c r="D16" s="22">
        <f>IF(A16="","",$C$5*C16)</f>
        <v>0</v>
      </c>
      <c r="E16" s="34"/>
      <c r="F16" s="24">
        <f t="shared" si="1"/>
        <v>0</v>
      </c>
      <c r="G16" s="25">
        <f t="shared" si="8"/>
        <v>0</v>
      </c>
      <c r="H16" s="35"/>
      <c r="I16" s="25">
        <f t="shared" si="9"/>
        <v>0</v>
      </c>
      <c r="J16" s="34"/>
      <c r="K16" s="27">
        <f t="shared" si="2"/>
        <v>0</v>
      </c>
      <c r="L16" s="34"/>
      <c r="M16" s="24">
        <f>IF(A16="","",$M$5*L16)</f>
        <v>0</v>
      </c>
      <c r="N16" s="25">
        <f t="shared" si="10"/>
        <v>0</v>
      </c>
      <c r="O16" s="36"/>
      <c r="P16" s="25">
        <f t="shared" si="11"/>
        <v>0</v>
      </c>
      <c r="Q16" s="34"/>
      <c r="R16" s="27">
        <f t="shared" si="4"/>
        <v>0</v>
      </c>
      <c r="S16" s="34"/>
      <c r="T16" s="24">
        <f t="shared" si="5"/>
        <v>0</v>
      </c>
      <c r="U16" s="25">
        <f t="shared" si="12"/>
        <v>0</v>
      </c>
      <c r="V16" s="35"/>
      <c r="W16" s="25">
        <f t="shared" si="20"/>
        <v>0</v>
      </c>
      <c r="X16" s="34"/>
      <c r="Y16" s="27">
        <f t="shared" si="13"/>
        <v>0</v>
      </c>
      <c r="Z16" s="34"/>
      <c r="AA16" s="24">
        <f t="shared" si="14"/>
        <v>0</v>
      </c>
      <c r="AB16" s="25">
        <f>SUM(Y16+AA16)</f>
        <v>0</v>
      </c>
      <c r="AC16" s="40"/>
      <c r="AD16" s="25">
        <f t="shared" si="15"/>
        <v>0</v>
      </c>
      <c r="AE16" s="29">
        <f t="shared" si="16"/>
        <v>0</v>
      </c>
      <c r="AF16" s="29">
        <f t="shared" si="17"/>
        <v>0</v>
      </c>
      <c r="AG16" s="37">
        <f t="shared" si="21"/>
        <v>0</v>
      </c>
      <c r="AH16" s="31">
        <f t="shared" si="18"/>
        <v>0</v>
      </c>
    </row>
    <row r="17" spans="1:34" x14ac:dyDescent="0.45">
      <c r="A17" s="20">
        <f t="shared" si="19"/>
        <v>46153</v>
      </c>
      <c r="B17" s="32" t="str">
        <f t="shared" si="7"/>
        <v>月</v>
      </c>
      <c r="C17" s="33">
        <v>1</v>
      </c>
      <c r="D17" s="22">
        <f>IF(A17="","",$C$5*C17)</f>
        <v>29700</v>
      </c>
      <c r="E17" s="34">
        <v>0.5</v>
      </c>
      <c r="F17" s="24">
        <f t="shared" si="1"/>
        <v>800</v>
      </c>
      <c r="G17" s="25">
        <f t="shared" si="8"/>
        <v>30500</v>
      </c>
      <c r="H17" s="35">
        <v>7010</v>
      </c>
      <c r="I17" s="25">
        <f t="shared" si="9"/>
        <v>37510</v>
      </c>
      <c r="J17" s="34">
        <v>1</v>
      </c>
      <c r="K17" s="27">
        <f t="shared" si="2"/>
        <v>27720</v>
      </c>
      <c r="L17" s="34">
        <v>0</v>
      </c>
      <c r="M17" s="24">
        <f>IF(A17="","",$M$5*L17)</f>
        <v>0</v>
      </c>
      <c r="N17" s="25">
        <f t="shared" si="10"/>
        <v>27720</v>
      </c>
      <c r="O17" s="36">
        <v>4230</v>
      </c>
      <c r="P17" s="25">
        <f t="shared" si="11"/>
        <v>31950</v>
      </c>
      <c r="Q17" s="34">
        <v>1</v>
      </c>
      <c r="R17" s="27">
        <f t="shared" si="4"/>
        <v>29700</v>
      </c>
      <c r="S17" s="34">
        <v>0</v>
      </c>
      <c r="T17" s="24">
        <f t="shared" si="5"/>
        <v>0</v>
      </c>
      <c r="U17" s="25">
        <f t="shared" si="12"/>
        <v>29700</v>
      </c>
      <c r="V17" s="35">
        <v>3740</v>
      </c>
      <c r="W17" s="25">
        <f t="shared" si="20"/>
        <v>33440</v>
      </c>
      <c r="X17" s="34"/>
      <c r="Y17" s="27">
        <f t="shared" si="13"/>
        <v>0</v>
      </c>
      <c r="Z17" s="34"/>
      <c r="AA17" s="24">
        <f t="shared" si="14"/>
        <v>0</v>
      </c>
      <c r="AB17" s="25">
        <f t="shared" si="6"/>
        <v>0</v>
      </c>
      <c r="AC17" s="40"/>
      <c r="AD17" s="25">
        <f t="shared" si="15"/>
        <v>0</v>
      </c>
      <c r="AE17" s="29">
        <f t="shared" si="16"/>
        <v>87920</v>
      </c>
      <c r="AF17" s="29">
        <f t="shared" si="17"/>
        <v>14980</v>
      </c>
      <c r="AG17" s="37">
        <f t="shared" si="21"/>
        <v>3</v>
      </c>
      <c r="AH17" s="31">
        <f t="shared" si="18"/>
        <v>102900</v>
      </c>
    </row>
    <row r="18" spans="1:34" x14ac:dyDescent="0.45">
      <c r="A18" s="20">
        <f t="shared" si="19"/>
        <v>46154</v>
      </c>
      <c r="B18" s="32" t="str">
        <f t="shared" si="7"/>
        <v>火</v>
      </c>
      <c r="C18" s="33">
        <v>1</v>
      </c>
      <c r="D18" s="22">
        <f t="shared" ref="D18" si="33">IF(A18="","",$C$5*C18)</f>
        <v>29700</v>
      </c>
      <c r="E18" s="34">
        <v>1.5</v>
      </c>
      <c r="F18" s="24">
        <f t="shared" ref="F18" si="34">IF(A18="","",$F$5*E18)</f>
        <v>2400</v>
      </c>
      <c r="G18" s="25">
        <f t="shared" ref="G18" si="35">SUM(D18+F18)</f>
        <v>32100</v>
      </c>
      <c r="H18" s="35">
        <v>7240</v>
      </c>
      <c r="I18" s="25">
        <f t="shared" ref="I18" si="36">IF(A18="","",G18+H18)</f>
        <v>39340</v>
      </c>
      <c r="J18" s="34">
        <v>1</v>
      </c>
      <c r="K18" s="27">
        <f t="shared" ref="K18" si="37">IF(A18="","",$J$5*J18)</f>
        <v>27720</v>
      </c>
      <c r="L18" s="34">
        <v>0</v>
      </c>
      <c r="M18" s="24">
        <f>IF(A18="","",$M$5*L18)</f>
        <v>0</v>
      </c>
      <c r="N18" s="25">
        <f t="shared" ref="N18" si="38">SUM(K18+M18)</f>
        <v>27720</v>
      </c>
      <c r="O18" s="36">
        <v>4830</v>
      </c>
      <c r="P18" s="25">
        <f t="shared" ref="P18" si="39">IF(A18="","",N18+O18)</f>
        <v>32550</v>
      </c>
      <c r="Q18" s="34">
        <v>1</v>
      </c>
      <c r="R18" s="27">
        <f t="shared" ref="R18" si="40">IF(A18="","",$Q$5*Q18)</f>
        <v>29700</v>
      </c>
      <c r="S18" s="34">
        <v>0</v>
      </c>
      <c r="T18" s="24">
        <f t="shared" ref="T18" si="41">IF(A18="","",$T$5*S18)</f>
        <v>0</v>
      </c>
      <c r="U18" s="25">
        <f t="shared" ref="U18" si="42">SUM(R18+T18)</f>
        <v>29700</v>
      </c>
      <c r="V18" s="35">
        <v>1480</v>
      </c>
      <c r="W18" s="25">
        <f t="shared" ref="W18" si="43">IF(A18="","",U18+V18)</f>
        <v>31180</v>
      </c>
      <c r="X18" s="34">
        <v>1</v>
      </c>
      <c r="Y18" s="27">
        <f t="shared" si="13"/>
        <v>25740</v>
      </c>
      <c r="Z18" s="34">
        <v>0</v>
      </c>
      <c r="AA18" s="24">
        <f t="shared" si="14"/>
        <v>0</v>
      </c>
      <c r="AB18" s="25">
        <f t="shared" si="6"/>
        <v>25740</v>
      </c>
      <c r="AC18" s="40">
        <v>2370</v>
      </c>
      <c r="AD18" s="25">
        <f t="shared" si="15"/>
        <v>28110</v>
      </c>
      <c r="AE18" s="29">
        <f t="shared" si="16"/>
        <v>115260</v>
      </c>
      <c r="AF18" s="29">
        <f t="shared" si="17"/>
        <v>15920</v>
      </c>
      <c r="AG18" s="37">
        <f t="shared" si="21"/>
        <v>4</v>
      </c>
      <c r="AH18" s="31">
        <f t="shared" si="18"/>
        <v>131180</v>
      </c>
    </row>
    <row r="19" spans="1:34" x14ac:dyDescent="0.45">
      <c r="A19" s="20">
        <f t="shared" si="19"/>
        <v>46155</v>
      </c>
      <c r="B19" s="32" t="str">
        <f t="shared" si="7"/>
        <v>水</v>
      </c>
      <c r="C19" s="33">
        <v>1</v>
      </c>
      <c r="D19" s="22">
        <f t="shared" si="0"/>
        <v>29700</v>
      </c>
      <c r="E19" s="34">
        <v>1</v>
      </c>
      <c r="F19" s="24">
        <f t="shared" si="1"/>
        <v>1600</v>
      </c>
      <c r="G19" s="25">
        <f t="shared" si="8"/>
        <v>31300</v>
      </c>
      <c r="H19" s="35">
        <v>7750</v>
      </c>
      <c r="I19" s="25">
        <f t="shared" si="9"/>
        <v>39050</v>
      </c>
      <c r="J19" s="34">
        <v>1</v>
      </c>
      <c r="K19" s="27">
        <f t="shared" si="2"/>
        <v>27720</v>
      </c>
      <c r="L19" s="34">
        <v>0</v>
      </c>
      <c r="M19" s="24">
        <f t="shared" ref="M19:M37" si="44">IF(A19="","",$M$5*L19)</f>
        <v>0</v>
      </c>
      <c r="N19" s="25">
        <f t="shared" si="10"/>
        <v>27720</v>
      </c>
      <c r="O19" s="36">
        <v>3790</v>
      </c>
      <c r="P19" s="25">
        <f t="shared" si="11"/>
        <v>31510</v>
      </c>
      <c r="Q19" s="34">
        <v>1</v>
      </c>
      <c r="R19" s="27">
        <f t="shared" si="4"/>
        <v>29700</v>
      </c>
      <c r="S19" s="34">
        <v>0</v>
      </c>
      <c r="T19" s="24">
        <f t="shared" si="5"/>
        <v>0</v>
      </c>
      <c r="U19" s="25">
        <f t="shared" si="12"/>
        <v>29700</v>
      </c>
      <c r="V19" s="35">
        <v>3740</v>
      </c>
      <c r="W19" s="25">
        <f t="shared" si="20"/>
        <v>33440</v>
      </c>
      <c r="X19" s="34">
        <v>1</v>
      </c>
      <c r="Y19" s="27">
        <f t="shared" si="13"/>
        <v>25740</v>
      </c>
      <c r="Z19" s="34">
        <v>0</v>
      </c>
      <c r="AA19" s="24">
        <f t="shared" si="14"/>
        <v>0</v>
      </c>
      <c r="AB19" s="25">
        <f t="shared" si="6"/>
        <v>25740</v>
      </c>
      <c r="AC19" s="40">
        <v>2570</v>
      </c>
      <c r="AD19" s="25">
        <f t="shared" si="15"/>
        <v>28310</v>
      </c>
      <c r="AE19" s="29">
        <f t="shared" si="16"/>
        <v>114460</v>
      </c>
      <c r="AF19" s="29">
        <f t="shared" si="17"/>
        <v>17850</v>
      </c>
      <c r="AG19" s="37">
        <f t="shared" si="21"/>
        <v>4</v>
      </c>
      <c r="AH19" s="31">
        <f t="shared" si="18"/>
        <v>132310</v>
      </c>
    </row>
    <row r="20" spans="1:34" x14ac:dyDescent="0.45">
      <c r="A20" s="20">
        <f t="shared" si="19"/>
        <v>46156</v>
      </c>
      <c r="B20" s="32" t="str">
        <f t="shared" si="7"/>
        <v>木</v>
      </c>
      <c r="C20" s="33">
        <v>1</v>
      </c>
      <c r="D20" s="22">
        <f t="shared" ref="D20" si="45">IF(A20="","",$C$5*C20)</f>
        <v>29700</v>
      </c>
      <c r="E20" s="34">
        <v>0</v>
      </c>
      <c r="F20" s="24">
        <f t="shared" ref="F20" si="46">IF(A20="","",$F$5*E20)</f>
        <v>0</v>
      </c>
      <c r="G20" s="25">
        <f t="shared" si="8"/>
        <v>29700</v>
      </c>
      <c r="H20" s="35">
        <v>7200</v>
      </c>
      <c r="I20" s="25">
        <f t="shared" ref="I20" si="47">IF(A20="","",G20+H20)</f>
        <v>36900</v>
      </c>
      <c r="J20" s="34">
        <v>1</v>
      </c>
      <c r="K20" s="27">
        <f t="shared" ref="K20" si="48">IF(A20="","",$J$5*J20)</f>
        <v>27720</v>
      </c>
      <c r="L20" s="34">
        <v>0</v>
      </c>
      <c r="M20" s="24">
        <f t="shared" ref="M20" si="49">IF(A20="","",$M$5*L20)</f>
        <v>0</v>
      </c>
      <c r="N20" s="25">
        <f t="shared" ref="N20" si="50">SUM(K20+M20)</f>
        <v>27720</v>
      </c>
      <c r="O20" s="36">
        <v>3950</v>
      </c>
      <c r="P20" s="25">
        <f t="shared" ref="P20" si="51">IF(A20="","",N20+O20)</f>
        <v>31670</v>
      </c>
      <c r="Q20" s="34">
        <v>1</v>
      </c>
      <c r="R20" s="27">
        <f t="shared" ref="R20" si="52">IF(A20="","",$Q$5*Q20)</f>
        <v>29700</v>
      </c>
      <c r="S20" s="34">
        <v>0</v>
      </c>
      <c r="T20" s="24">
        <f t="shared" ref="T20" si="53">IF(A20="","",$T$5*S20)</f>
        <v>0</v>
      </c>
      <c r="U20" s="25">
        <f t="shared" si="12"/>
        <v>29700</v>
      </c>
      <c r="V20" s="35">
        <v>1600</v>
      </c>
      <c r="W20" s="25">
        <f t="shared" si="20"/>
        <v>31300</v>
      </c>
      <c r="X20" s="34"/>
      <c r="Y20" s="27">
        <f t="shared" si="13"/>
        <v>0</v>
      </c>
      <c r="Z20" s="34"/>
      <c r="AA20" s="24">
        <f t="shared" si="14"/>
        <v>0</v>
      </c>
      <c r="AB20" s="25">
        <f t="shared" si="6"/>
        <v>0</v>
      </c>
      <c r="AC20" s="40"/>
      <c r="AD20" s="25">
        <f t="shared" si="15"/>
        <v>0</v>
      </c>
      <c r="AE20" s="29">
        <f t="shared" si="16"/>
        <v>87120</v>
      </c>
      <c r="AF20" s="29">
        <f t="shared" si="17"/>
        <v>12750</v>
      </c>
      <c r="AG20" s="37">
        <f t="shared" si="21"/>
        <v>3</v>
      </c>
      <c r="AH20" s="31">
        <f t="shared" si="18"/>
        <v>99870</v>
      </c>
    </row>
    <row r="21" spans="1:34" x14ac:dyDescent="0.45">
      <c r="A21" s="20">
        <f t="shared" si="19"/>
        <v>46157</v>
      </c>
      <c r="B21" s="32" t="str">
        <f t="shared" si="7"/>
        <v>金</v>
      </c>
      <c r="C21" s="33">
        <v>1</v>
      </c>
      <c r="D21" s="22">
        <f t="shared" si="0"/>
        <v>29700</v>
      </c>
      <c r="E21" s="34">
        <v>0.5</v>
      </c>
      <c r="F21" s="24">
        <f t="shared" si="1"/>
        <v>800</v>
      </c>
      <c r="G21" s="25">
        <f t="shared" si="8"/>
        <v>30500</v>
      </c>
      <c r="H21" s="35">
        <v>7010</v>
      </c>
      <c r="I21" s="25">
        <f t="shared" si="9"/>
        <v>37510</v>
      </c>
      <c r="J21" s="34">
        <v>1</v>
      </c>
      <c r="K21" s="27">
        <f t="shared" si="2"/>
        <v>27720</v>
      </c>
      <c r="L21" s="34">
        <v>0</v>
      </c>
      <c r="M21" s="24">
        <f t="shared" si="44"/>
        <v>0</v>
      </c>
      <c r="N21" s="25">
        <f t="shared" si="10"/>
        <v>27720</v>
      </c>
      <c r="O21" s="36">
        <v>3790</v>
      </c>
      <c r="P21" s="25">
        <f t="shared" si="11"/>
        <v>31510</v>
      </c>
      <c r="Q21" s="34">
        <v>1</v>
      </c>
      <c r="R21" s="27">
        <f t="shared" si="4"/>
        <v>29700</v>
      </c>
      <c r="S21" s="34">
        <v>0</v>
      </c>
      <c r="T21" s="24">
        <f t="shared" si="5"/>
        <v>0</v>
      </c>
      <c r="U21" s="25">
        <f t="shared" si="12"/>
        <v>29700</v>
      </c>
      <c r="V21" s="35">
        <v>1480</v>
      </c>
      <c r="W21" s="25">
        <f t="shared" si="20"/>
        <v>31180</v>
      </c>
      <c r="X21" s="34">
        <v>1</v>
      </c>
      <c r="Y21" s="27">
        <f t="shared" si="13"/>
        <v>25740</v>
      </c>
      <c r="Z21" s="34">
        <v>0</v>
      </c>
      <c r="AA21" s="24">
        <f t="shared" si="14"/>
        <v>0</v>
      </c>
      <c r="AB21" s="25">
        <f t="shared" si="6"/>
        <v>25740</v>
      </c>
      <c r="AC21" s="40">
        <v>2720</v>
      </c>
      <c r="AD21" s="25">
        <f t="shared" si="15"/>
        <v>28460</v>
      </c>
      <c r="AE21" s="29">
        <f t="shared" si="16"/>
        <v>113660</v>
      </c>
      <c r="AF21" s="29">
        <f t="shared" si="17"/>
        <v>15000</v>
      </c>
      <c r="AG21" s="37">
        <f t="shared" si="21"/>
        <v>4</v>
      </c>
      <c r="AH21" s="31">
        <f t="shared" si="18"/>
        <v>128660</v>
      </c>
    </row>
    <row r="22" spans="1:34" x14ac:dyDescent="0.45">
      <c r="A22" s="20">
        <f t="shared" si="19"/>
        <v>46158</v>
      </c>
      <c r="B22" s="32" t="str">
        <f t="shared" si="7"/>
        <v>土</v>
      </c>
      <c r="C22" s="33">
        <v>1</v>
      </c>
      <c r="D22" s="22">
        <f t="shared" si="0"/>
        <v>29700</v>
      </c>
      <c r="E22" s="34">
        <v>0</v>
      </c>
      <c r="F22" s="24">
        <f t="shared" si="1"/>
        <v>0</v>
      </c>
      <c r="G22" s="25">
        <f t="shared" si="8"/>
        <v>29700</v>
      </c>
      <c r="H22" s="35">
        <v>6480</v>
      </c>
      <c r="I22" s="25">
        <f t="shared" si="9"/>
        <v>36180</v>
      </c>
      <c r="J22" s="34">
        <v>1</v>
      </c>
      <c r="K22" s="27">
        <f t="shared" si="2"/>
        <v>27720</v>
      </c>
      <c r="L22" s="34">
        <v>0</v>
      </c>
      <c r="M22" s="24">
        <f t="shared" si="44"/>
        <v>0</v>
      </c>
      <c r="N22" s="25">
        <f t="shared" si="10"/>
        <v>27720</v>
      </c>
      <c r="O22" s="36">
        <v>4230</v>
      </c>
      <c r="P22" s="25">
        <f t="shared" si="11"/>
        <v>31950</v>
      </c>
      <c r="Q22" s="34">
        <v>1</v>
      </c>
      <c r="R22" s="27">
        <f t="shared" si="4"/>
        <v>29700</v>
      </c>
      <c r="S22" s="34">
        <v>1</v>
      </c>
      <c r="T22" s="24">
        <f t="shared" si="5"/>
        <v>1600</v>
      </c>
      <c r="U22" s="25">
        <f t="shared" si="12"/>
        <v>31300</v>
      </c>
      <c r="V22" s="35">
        <v>3740</v>
      </c>
      <c r="W22" s="25">
        <f t="shared" si="20"/>
        <v>35040</v>
      </c>
      <c r="X22" s="34"/>
      <c r="Y22" s="27">
        <f t="shared" si="13"/>
        <v>0</v>
      </c>
      <c r="Z22" s="34"/>
      <c r="AA22" s="24">
        <f t="shared" si="14"/>
        <v>0</v>
      </c>
      <c r="AB22" s="25">
        <f t="shared" si="6"/>
        <v>0</v>
      </c>
      <c r="AC22" s="40"/>
      <c r="AD22" s="25">
        <f t="shared" si="15"/>
        <v>0</v>
      </c>
      <c r="AE22" s="29">
        <f t="shared" si="16"/>
        <v>88720</v>
      </c>
      <c r="AF22" s="29">
        <f t="shared" si="17"/>
        <v>14450</v>
      </c>
      <c r="AG22" s="37">
        <f t="shared" si="21"/>
        <v>3</v>
      </c>
      <c r="AH22" s="31">
        <f t="shared" si="18"/>
        <v>103170</v>
      </c>
    </row>
    <row r="23" spans="1:34" x14ac:dyDescent="0.45">
      <c r="A23" s="20">
        <f t="shared" si="19"/>
        <v>46159</v>
      </c>
      <c r="B23" s="32" t="str">
        <f t="shared" si="7"/>
        <v>日</v>
      </c>
      <c r="C23" s="33"/>
      <c r="D23" s="22">
        <f t="shared" si="0"/>
        <v>0</v>
      </c>
      <c r="E23" s="34"/>
      <c r="F23" s="24">
        <f t="shared" si="1"/>
        <v>0</v>
      </c>
      <c r="G23" s="25">
        <f t="shared" si="8"/>
        <v>0</v>
      </c>
      <c r="H23" s="35"/>
      <c r="I23" s="25">
        <f t="shared" si="9"/>
        <v>0</v>
      </c>
      <c r="J23" s="34"/>
      <c r="K23" s="27">
        <f t="shared" si="2"/>
        <v>0</v>
      </c>
      <c r="L23" s="34"/>
      <c r="M23" s="24">
        <f t="shared" si="44"/>
        <v>0</v>
      </c>
      <c r="N23" s="25">
        <f t="shared" si="10"/>
        <v>0</v>
      </c>
      <c r="O23" s="36"/>
      <c r="P23" s="25">
        <f t="shared" si="11"/>
        <v>0</v>
      </c>
      <c r="Q23" s="34"/>
      <c r="R23" s="27">
        <f t="shared" si="4"/>
        <v>0</v>
      </c>
      <c r="S23" s="34"/>
      <c r="T23" s="24">
        <f t="shared" si="5"/>
        <v>0</v>
      </c>
      <c r="U23" s="25">
        <f t="shared" si="12"/>
        <v>0</v>
      </c>
      <c r="V23" s="35"/>
      <c r="W23" s="25">
        <f t="shared" si="20"/>
        <v>0</v>
      </c>
      <c r="X23" s="34"/>
      <c r="Y23" s="27">
        <f t="shared" si="13"/>
        <v>0</v>
      </c>
      <c r="Z23" s="34"/>
      <c r="AA23" s="24">
        <f t="shared" si="14"/>
        <v>0</v>
      </c>
      <c r="AB23" s="25">
        <f t="shared" si="6"/>
        <v>0</v>
      </c>
      <c r="AC23" s="40"/>
      <c r="AD23" s="25">
        <f t="shared" si="15"/>
        <v>0</v>
      </c>
      <c r="AE23" s="29">
        <f t="shared" si="16"/>
        <v>0</v>
      </c>
      <c r="AF23" s="29">
        <f t="shared" si="17"/>
        <v>0</v>
      </c>
      <c r="AG23" s="37">
        <f t="shared" si="21"/>
        <v>0</v>
      </c>
      <c r="AH23" s="31">
        <f t="shared" si="18"/>
        <v>0</v>
      </c>
    </row>
    <row r="24" spans="1:34" x14ac:dyDescent="0.45">
      <c r="A24" s="20">
        <f t="shared" si="19"/>
        <v>46160</v>
      </c>
      <c r="B24" s="32" t="str">
        <f t="shared" si="7"/>
        <v>月</v>
      </c>
      <c r="C24" s="33">
        <v>1</v>
      </c>
      <c r="D24" s="22">
        <f t="shared" ref="D24" si="54">IF(A24="","",$C$5*C24)</f>
        <v>29700</v>
      </c>
      <c r="E24" s="34">
        <v>1</v>
      </c>
      <c r="F24" s="24">
        <f t="shared" ref="F24" si="55">IF(A24="","",$F$5*E24)</f>
        <v>1600</v>
      </c>
      <c r="G24" s="25">
        <f t="shared" ref="G24" si="56">SUM(D24+F24)</f>
        <v>31300</v>
      </c>
      <c r="H24" s="35">
        <v>6480</v>
      </c>
      <c r="I24" s="25">
        <f t="shared" ref="I24" si="57">IF(A24="","",G24+H24)</f>
        <v>37780</v>
      </c>
      <c r="J24" s="34">
        <v>1</v>
      </c>
      <c r="K24" s="27">
        <f t="shared" ref="K24" si="58">IF(A24="","",$J$5*J24)</f>
        <v>27720</v>
      </c>
      <c r="L24" s="34">
        <v>0</v>
      </c>
      <c r="M24" s="24">
        <f t="shared" ref="M24" si="59">IF(A24="","",$M$5*L24)</f>
        <v>0</v>
      </c>
      <c r="N24" s="25">
        <f t="shared" ref="N24" si="60">SUM(K24+M24)</f>
        <v>27720</v>
      </c>
      <c r="O24" s="36">
        <v>4960</v>
      </c>
      <c r="P24" s="25">
        <f t="shared" ref="P24" si="61">IF(A24="","",N24+O24)</f>
        <v>32680</v>
      </c>
      <c r="Q24" s="34">
        <v>1</v>
      </c>
      <c r="R24" s="27">
        <f t="shared" ref="R24" si="62">IF(A24="","",$Q$5*Q24)</f>
        <v>29700</v>
      </c>
      <c r="S24" s="34">
        <v>0</v>
      </c>
      <c r="T24" s="24">
        <f t="shared" ref="T24" si="63">IF(A24="","",$T$5*S24)</f>
        <v>0</v>
      </c>
      <c r="U24" s="25">
        <f t="shared" ref="U24" si="64">SUM(R24+T24)</f>
        <v>29700</v>
      </c>
      <c r="V24" s="35">
        <v>3740</v>
      </c>
      <c r="W24" s="25">
        <f t="shared" ref="W24" si="65">IF(A24="","",U24+V24)</f>
        <v>33440</v>
      </c>
      <c r="X24" s="34"/>
      <c r="Y24" s="27">
        <f t="shared" ref="Y24" si="66">IF(A24="","",$X$5*X24)</f>
        <v>0</v>
      </c>
      <c r="Z24" s="34"/>
      <c r="AA24" s="24">
        <f t="shared" ref="AA24" si="67">IF(A24="","",$AA$5*Z24)</f>
        <v>0</v>
      </c>
      <c r="AB24" s="25">
        <f t="shared" ref="AB24" si="68">SUM(Y24+AA24)</f>
        <v>0</v>
      </c>
      <c r="AC24" s="40"/>
      <c r="AD24" s="25">
        <f t="shared" ref="AD24" si="69">IF(A24="","",AB24+AC24)</f>
        <v>0</v>
      </c>
      <c r="AE24" s="29">
        <f t="shared" ref="AE24" si="70">D24+F24+K24+M24+R24+T24+Y24+AA24</f>
        <v>88720</v>
      </c>
      <c r="AF24" s="29">
        <f t="shared" ref="AF24" si="71">H24+O24+V24+AC24</f>
        <v>15180</v>
      </c>
      <c r="AG24" s="37">
        <f t="shared" ref="AG24" si="72">IF(A24="","",X24+Q24+J24+C24)</f>
        <v>3</v>
      </c>
      <c r="AH24" s="31">
        <f t="shared" ref="AH24" si="73">SUM(AE24:AF24)</f>
        <v>103900</v>
      </c>
    </row>
    <row r="25" spans="1:34" x14ac:dyDescent="0.45">
      <c r="A25" s="20">
        <f t="shared" si="19"/>
        <v>46161</v>
      </c>
      <c r="B25" s="32" t="str">
        <f t="shared" si="7"/>
        <v>火</v>
      </c>
      <c r="C25" s="33">
        <v>1</v>
      </c>
      <c r="D25" s="22">
        <f t="shared" si="0"/>
        <v>29700</v>
      </c>
      <c r="E25" s="34">
        <v>0</v>
      </c>
      <c r="F25" s="24">
        <f t="shared" si="1"/>
        <v>0</v>
      </c>
      <c r="G25" s="25">
        <f t="shared" si="8"/>
        <v>29700</v>
      </c>
      <c r="H25" s="35">
        <v>7560</v>
      </c>
      <c r="I25" s="25">
        <f t="shared" si="9"/>
        <v>37260</v>
      </c>
      <c r="J25" s="34">
        <v>1</v>
      </c>
      <c r="K25" s="27">
        <f t="shared" si="2"/>
        <v>27720</v>
      </c>
      <c r="L25" s="34">
        <v>0</v>
      </c>
      <c r="M25" s="24">
        <f t="shared" si="44"/>
        <v>0</v>
      </c>
      <c r="N25" s="25">
        <f t="shared" si="10"/>
        <v>27720</v>
      </c>
      <c r="O25" s="36">
        <v>3790</v>
      </c>
      <c r="P25" s="25">
        <f t="shared" si="11"/>
        <v>31510</v>
      </c>
      <c r="Q25" s="34">
        <v>1</v>
      </c>
      <c r="R25" s="27">
        <f t="shared" si="4"/>
        <v>29700</v>
      </c>
      <c r="S25" s="34">
        <v>0</v>
      </c>
      <c r="T25" s="24">
        <f t="shared" si="5"/>
        <v>0</v>
      </c>
      <c r="U25" s="25">
        <f t="shared" si="12"/>
        <v>29700</v>
      </c>
      <c r="V25" s="35">
        <v>1480</v>
      </c>
      <c r="W25" s="25">
        <f t="shared" si="20"/>
        <v>31180</v>
      </c>
      <c r="X25" s="34">
        <v>1</v>
      </c>
      <c r="Y25" s="27">
        <f t="shared" si="13"/>
        <v>25740</v>
      </c>
      <c r="Z25" s="34">
        <v>0</v>
      </c>
      <c r="AA25" s="24">
        <f t="shared" si="14"/>
        <v>0</v>
      </c>
      <c r="AB25" s="25">
        <f t="shared" si="6"/>
        <v>25740</v>
      </c>
      <c r="AC25" s="40">
        <v>2570</v>
      </c>
      <c r="AD25" s="25">
        <f t="shared" si="15"/>
        <v>28310</v>
      </c>
      <c r="AE25" s="29">
        <f t="shared" si="16"/>
        <v>112860</v>
      </c>
      <c r="AF25" s="29">
        <f t="shared" si="17"/>
        <v>15400</v>
      </c>
      <c r="AG25" s="37">
        <f t="shared" si="21"/>
        <v>4</v>
      </c>
      <c r="AH25" s="31">
        <f t="shared" si="18"/>
        <v>128260</v>
      </c>
    </row>
    <row r="26" spans="1:34" x14ac:dyDescent="0.45">
      <c r="A26" s="20">
        <f t="shared" si="19"/>
        <v>46162</v>
      </c>
      <c r="B26" s="32" t="str">
        <f t="shared" si="7"/>
        <v>水</v>
      </c>
      <c r="C26" s="33"/>
      <c r="D26" s="22">
        <f t="shared" si="0"/>
        <v>0</v>
      </c>
      <c r="E26" s="34"/>
      <c r="F26" s="24">
        <f t="shared" si="1"/>
        <v>0</v>
      </c>
      <c r="G26" s="25">
        <f t="shared" si="8"/>
        <v>0</v>
      </c>
      <c r="H26" s="35"/>
      <c r="I26" s="25">
        <f t="shared" si="9"/>
        <v>0</v>
      </c>
      <c r="J26" s="34"/>
      <c r="K26" s="27">
        <f t="shared" si="2"/>
        <v>0</v>
      </c>
      <c r="L26" s="34"/>
      <c r="M26" s="24">
        <f t="shared" si="44"/>
        <v>0</v>
      </c>
      <c r="N26" s="25">
        <f t="shared" si="10"/>
        <v>0</v>
      </c>
      <c r="O26" s="36"/>
      <c r="P26" s="25">
        <f t="shared" si="11"/>
        <v>0</v>
      </c>
      <c r="Q26" s="34"/>
      <c r="R26" s="27">
        <f t="shared" si="4"/>
        <v>0</v>
      </c>
      <c r="S26" s="34"/>
      <c r="T26" s="24">
        <f t="shared" si="5"/>
        <v>0</v>
      </c>
      <c r="U26" s="25">
        <f t="shared" si="12"/>
        <v>0</v>
      </c>
      <c r="V26" s="35"/>
      <c r="W26" s="25">
        <f t="shared" si="20"/>
        <v>0</v>
      </c>
      <c r="X26" s="34"/>
      <c r="Y26" s="27">
        <f t="shared" si="13"/>
        <v>0</v>
      </c>
      <c r="Z26" s="34"/>
      <c r="AA26" s="24">
        <f t="shared" si="14"/>
        <v>0</v>
      </c>
      <c r="AB26" s="25">
        <f t="shared" si="6"/>
        <v>0</v>
      </c>
      <c r="AC26" s="40"/>
      <c r="AD26" s="25">
        <f t="shared" si="15"/>
        <v>0</v>
      </c>
      <c r="AE26" s="29">
        <f t="shared" si="16"/>
        <v>0</v>
      </c>
      <c r="AF26" s="29">
        <f t="shared" si="17"/>
        <v>0</v>
      </c>
      <c r="AG26" s="37">
        <f t="shared" si="21"/>
        <v>0</v>
      </c>
      <c r="AH26" s="31">
        <f t="shared" si="18"/>
        <v>0</v>
      </c>
    </row>
    <row r="27" spans="1:34" x14ac:dyDescent="0.45">
      <c r="A27" s="20">
        <f t="shared" si="19"/>
        <v>46163</v>
      </c>
      <c r="B27" s="32" t="str">
        <f t="shared" si="7"/>
        <v>木</v>
      </c>
      <c r="C27" s="33">
        <v>1</v>
      </c>
      <c r="D27" s="22">
        <f t="shared" si="0"/>
        <v>29700</v>
      </c>
      <c r="E27" s="34">
        <v>2</v>
      </c>
      <c r="F27" s="24">
        <f t="shared" si="1"/>
        <v>3200</v>
      </c>
      <c r="G27" s="25">
        <f t="shared" si="8"/>
        <v>32900</v>
      </c>
      <c r="H27" s="35">
        <v>7750</v>
      </c>
      <c r="I27" s="25">
        <f t="shared" si="9"/>
        <v>40650</v>
      </c>
      <c r="J27" s="34">
        <v>1</v>
      </c>
      <c r="K27" s="27">
        <f t="shared" si="2"/>
        <v>27720</v>
      </c>
      <c r="L27" s="34">
        <v>0</v>
      </c>
      <c r="M27" s="24">
        <f t="shared" si="44"/>
        <v>0</v>
      </c>
      <c r="N27" s="25">
        <f t="shared" si="10"/>
        <v>27720</v>
      </c>
      <c r="O27" s="36">
        <v>4620</v>
      </c>
      <c r="P27" s="25">
        <f t="shared" si="11"/>
        <v>32340</v>
      </c>
      <c r="Q27" s="34">
        <v>1</v>
      </c>
      <c r="R27" s="27">
        <f t="shared" si="4"/>
        <v>29700</v>
      </c>
      <c r="S27" s="34">
        <v>1.5</v>
      </c>
      <c r="T27" s="24">
        <f t="shared" si="5"/>
        <v>2400</v>
      </c>
      <c r="U27" s="25">
        <f t="shared" si="12"/>
        <v>32100</v>
      </c>
      <c r="V27" s="35">
        <v>3620</v>
      </c>
      <c r="W27" s="25">
        <f t="shared" si="20"/>
        <v>35720</v>
      </c>
      <c r="X27" s="34">
        <v>1</v>
      </c>
      <c r="Y27" s="27">
        <f t="shared" si="13"/>
        <v>25740</v>
      </c>
      <c r="Z27" s="34">
        <v>0.5</v>
      </c>
      <c r="AA27" s="24">
        <f t="shared" si="14"/>
        <v>800</v>
      </c>
      <c r="AB27" s="25">
        <f t="shared" si="6"/>
        <v>26540</v>
      </c>
      <c r="AC27" s="40">
        <v>4620</v>
      </c>
      <c r="AD27" s="25">
        <f t="shared" si="15"/>
        <v>31160</v>
      </c>
      <c r="AE27" s="29">
        <f t="shared" si="16"/>
        <v>119260</v>
      </c>
      <c r="AF27" s="29">
        <f t="shared" si="17"/>
        <v>20610</v>
      </c>
      <c r="AG27" s="37">
        <f t="shared" si="21"/>
        <v>4</v>
      </c>
      <c r="AH27" s="31">
        <f t="shared" si="18"/>
        <v>139870</v>
      </c>
    </row>
    <row r="28" spans="1:34" x14ac:dyDescent="0.45">
      <c r="A28" s="20">
        <f t="shared" si="19"/>
        <v>46164</v>
      </c>
      <c r="B28" s="32" t="str">
        <f t="shared" si="7"/>
        <v>金</v>
      </c>
      <c r="C28" s="33">
        <v>1</v>
      </c>
      <c r="D28" s="22">
        <f t="shared" si="0"/>
        <v>29700</v>
      </c>
      <c r="E28" s="34">
        <v>0</v>
      </c>
      <c r="F28" s="24">
        <f t="shared" si="1"/>
        <v>0</v>
      </c>
      <c r="G28" s="25">
        <f t="shared" si="8"/>
        <v>29700</v>
      </c>
      <c r="H28" s="35">
        <v>7960</v>
      </c>
      <c r="I28" s="25">
        <f t="shared" si="9"/>
        <v>37660</v>
      </c>
      <c r="J28" s="34">
        <v>1</v>
      </c>
      <c r="K28" s="27">
        <f t="shared" si="2"/>
        <v>27720</v>
      </c>
      <c r="L28" s="34">
        <v>0</v>
      </c>
      <c r="M28" s="24">
        <f t="shared" si="44"/>
        <v>0</v>
      </c>
      <c r="N28" s="25">
        <f t="shared" si="10"/>
        <v>27720</v>
      </c>
      <c r="O28" s="36">
        <v>4950</v>
      </c>
      <c r="P28" s="25">
        <f t="shared" si="11"/>
        <v>32670</v>
      </c>
      <c r="Q28" s="34">
        <v>1</v>
      </c>
      <c r="R28" s="27">
        <f t="shared" si="4"/>
        <v>29700</v>
      </c>
      <c r="S28" s="34">
        <v>0</v>
      </c>
      <c r="T28" s="24">
        <f t="shared" si="5"/>
        <v>0</v>
      </c>
      <c r="U28" s="25">
        <f t="shared" si="12"/>
        <v>29700</v>
      </c>
      <c r="V28" s="35">
        <v>1480</v>
      </c>
      <c r="W28" s="25">
        <f t="shared" si="20"/>
        <v>31180</v>
      </c>
      <c r="X28" s="34">
        <v>3</v>
      </c>
      <c r="Y28" s="27">
        <v>81180</v>
      </c>
      <c r="Z28" s="34">
        <v>0</v>
      </c>
      <c r="AA28" s="24">
        <f t="shared" si="14"/>
        <v>0</v>
      </c>
      <c r="AB28" s="25">
        <f t="shared" si="6"/>
        <v>81180</v>
      </c>
      <c r="AC28" s="40">
        <v>3100</v>
      </c>
      <c r="AD28" s="25">
        <f t="shared" si="15"/>
        <v>84280</v>
      </c>
      <c r="AE28" s="29">
        <f t="shared" si="16"/>
        <v>168300</v>
      </c>
      <c r="AF28" s="29">
        <f t="shared" si="17"/>
        <v>17490</v>
      </c>
      <c r="AG28" s="37">
        <f t="shared" si="21"/>
        <v>6</v>
      </c>
      <c r="AH28" s="31">
        <f t="shared" si="18"/>
        <v>185790</v>
      </c>
    </row>
    <row r="29" spans="1:34" x14ac:dyDescent="0.45">
      <c r="A29" s="20">
        <f t="shared" si="19"/>
        <v>46165</v>
      </c>
      <c r="B29" s="32" t="str">
        <f t="shared" si="7"/>
        <v>土</v>
      </c>
      <c r="C29" s="33">
        <v>1</v>
      </c>
      <c r="D29" s="22">
        <f t="shared" si="0"/>
        <v>29700</v>
      </c>
      <c r="E29" s="34">
        <v>0</v>
      </c>
      <c r="F29" s="24">
        <f t="shared" si="1"/>
        <v>0</v>
      </c>
      <c r="G29" s="25">
        <f t="shared" si="8"/>
        <v>29700</v>
      </c>
      <c r="H29" s="35">
        <v>7030</v>
      </c>
      <c r="I29" s="25">
        <f t="shared" si="9"/>
        <v>36730</v>
      </c>
      <c r="J29" s="34">
        <v>1</v>
      </c>
      <c r="K29" s="27">
        <f t="shared" si="2"/>
        <v>27720</v>
      </c>
      <c r="L29" s="34">
        <v>0</v>
      </c>
      <c r="M29" s="24">
        <f t="shared" si="44"/>
        <v>0</v>
      </c>
      <c r="N29" s="25">
        <f t="shared" si="10"/>
        <v>27720</v>
      </c>
      <c r="O29" s="36">
        <v>5120</v>
      </c>
      <c r="P29" s="25">
        <f t="shared" si="11"/>
        <v>32840</v>
      </c>
      <c r="Q29" s="34">
        <v>1</v>
      </c>
      <c r="R29" s="27">
        <f t="shared" si="4"/>
        <v>29700</v>
      </c>
      <c r="S29" s="34">
        <v>0</v>
      </c>
      <c r="T29" s="24">
        <f t="shared" si="5"/>
        <v>0</v>
      </c>
      <c r="U29" s="25">
        <f t="shared" si="12"/>
        <v>29700</v>
      </c>
      <c r="V29" s="35">
        <v>3620</v>
      </c>
      <c r="W29" s="25">
        <f t="shared" si="20"/>
        <v>33320</v>
      </c>
      <c r="X29" s="34">
        <v>1</v>
      </c>
      <c r="Y29" s="27">
        <f t="shared" si="13"/>
        <v>25740</v>
      </c>
      <c r="Z29" s="34">
        <v>0</v>
      </c>
      <c r="AA29" s="24">
        <f t="shared" si="14"/>
        <v>0</v>
      </c>
      <c r="AB29" s="25">
        <f t="shared" si="6"/>
        <v>25740</v>
      </c>
      <c r="AC29" s="40">
        <v>3220</v>
      </c>
      <c r="AD29" s="25">
        <f t="shared" si="15"/>
        <v>28960</v>
      </c>
      <c r="AE29" s="29">
        <f t="shared" si="16"/>
        <v>112860</v>
      </c>
      <c r="AF29" s="29">
        <f t="shared" si="17"/>
        <v>18990</v>
      </c>
      <c r="AG29" s="37">
        <f t="shared" si="21"/>
        <v>4</v>
      </c>
      <c r="AH29" s="31">
        <f t="shared" si="18"/>
        <v>131850</v>
      </c>
    </row>
    <row r="30" spans="1:34" x14ac:dyDescent="0.45">
      <c r="A30" s="20">
        <f t="shared" si="19"/>
        <v>46166</v>
      </c>
      <c r="B30" s="32" t="str">
        <f t="shared" si="7"/>
        <v>日</v>
      </c>
      <c r="C30" s="33"/>
      <c r="D30" s="22">
        <f t="shared" si="0"/>
        <v>0</v>
      </c>
      <c r="E30" s="34"/>
      <c r="F30" s="24">
        <f t="shared" si="1"/>
        <v>0</v>
      </c>
      <c r="G30" s="25">
        <f t="shared" si="8"/>
        <v>0</v>
      </c>
      <c r="H30" s="35"/>
      <c r="I30" s="25">
        <f t="shared" si="9"/>
        <v>0</v>
      </c>
      <c r="J30" s="34"/>
      <c r="K30" s="27">
        <f t="shared" si="2"/>
        <v>0</v>
      </c>
      <c r="L30" s="34"/>
      <c r="M30" s="24">
        <f t="shared" si="44"/>
        <v>0</v>
      </c>
      <c r="N30" s="25">
        <f t="shared" si="10"/>
        <v>0</v>
      </c>
      <c r="O30" s="36"/>
      <c r="P30" s="25">
        <f t="shared" si="11"/>
        <v>0</v>
      </c>
      <c r="Q30" s="34"/>
      <c r="R30" s="27">
        <f t="shared" si="4"/>
        <v>0</v>
      </c>
      <c r="S30" s="34"/>
      <c r="T30" s="24">
        <f t="shared" si="5"/>
        <v>0</v>
      </c>
      <c r="U30" s="25">
        <f t="shared" si="12"/>
        <v>0</v>
      </c>
      <c r="V30" s="35"/>
      <c r="W30" s="25">
        <f t="shared" si="20"/>
        <v>0</v>
      </c>
      <c r="X30" s="34"/>
      <c r="Y30" s="27">
        <f t="shared" si="13"/>
        <v>0</v>
      </c>
      <c r="Z30" s="34"/>
      <c r="AA30" s="24">
        <f t="shared" si="14"/>
        <v>0</v>
      </c>
      <c r="AB30" s="25">
        <f t="shared" si="6"/>
        <v>0</v>
      </c>
      <c r="AC30" s="40"/>
      <c r="AD30" s="25">
        <f t="shared" si="15"/>
        <v>0</v>
      </c>
      <c r="AE30" s="29">
        <f t="shared" si="16"/>
        <v>0</v>
      </c>
      <c r="AF30" s="29">
        <f t="shared" si="17"/>
        <v>0</v>
      </c>
      <c r="AG30" s="37">
        <f t="shared" si="21"/>
        <v>0</v>
      </c>
      <c r="AH30" s="31">
        <f t="shared" si="18"/>
        <v>0</v>
      </c>
    </row>
    <row r="31" spans="1:34" x14ac:dyDescent="0.45">
      <c r="A31" s="20">
        <f t="shared" si="19"/>
        <v>46167</v>
      </c>
      <c r="B31" s="32" t="str">
        <f t="shared" si="7"/>
        <v>月</v>
      </c>
      <c r="C31" s="33">
        <v>1</v>
      </c>
      <c r="D31" s="22">
        <f t="shared" si="0"/>
        <v>29700</v>
      </c>
      <c r="E31" s="34">
        <v>1.5</v>
      </c>
      <c r="F31" s="24">
        <f t="shared" si="1"/>
        <v>2400</v>
      </c>
      <c r="G31" s="25">
        <f t="shared" si="8"/>
        <v>32100</v>
      </c>
      <c r="H31" s="35">
        <v>7200</v>
      </c>
      <c r="I31" s="25">
        <f t="shared" si="9"/>
        <v>39300</v>
      </c>
      <c r="J31" s="34">
        <v>1</v>
      </c>
      <c r="K31" s="27">
        <f t="shared" si="2"/>
        <v>27720</v>
      </c>
      <c r="L31" s="34">
        <v>0</v>
      </c>
      <c r="M31" s="24">
        <f t="shared" si="44"/>
        <v>0</v>
      </c>
      <c r="N31" s="25">
        <f t="shared" si="10"/>
        <v>27720</v>
      </c>
      <c r="O31" s="36">
        <v>5190</v>
      </c>
      <c r="P31" s="25">
        <f t="shared" si="11"/>
        <v>32910</v>
      </c>
      <c r="Q31" s="34">
        <v>1</v>
      </c>
      <c r="R31" s="27">
        <f t="shared" si="4"/>
        <v>29700</v>
      </c>
      <c r="S31" s="34">
        <v>0</v>
      </c>
      <c r="T31" s="24">
        <f t="shared" si="5"/>
        <v>0</v>
      </c>
      <c r="U31" s="25">
        <f t="shared" si="12"/>
        <v>29700</v>
      </c>
      <c r="V31" s="35">
        <v>3740</v>
      </c>
      <c r="W31" s="25">
        <f t="shared" si="20"/>
        <v>33440</v>
      </c>
      <c r="X31" s="34"/>
      <c r="Y31" s="27">
        <f t="shared" si="13"/>
        <v>0</v>
      </c>
      <c r="Z31" s="34"/>
      <c r="AA31" s="24">
        <f t="shared" si="14"/>
        <v>0</v>
      </c>
      <c r="AB31" s="25">
        <f t="shared" si="6"/>
        <v>0</v>
      </c>
      <c r="AC31" s="40"/>
      <c r="AD31" s="25">
        <f t="shared" si="15"/>
        <v>0</v>
      </c>
      <c r="AE31" s="29">
        <f t="shared" si="16"/>
        <v>89520</v>
      </c>
      <c r="AF31" s="29">
        <f t="shared" si="17"/>
        <v>16130</v>
      </c>
      <c r="AG31" s="37">
        <f t="shared" si="21"/>
        <v>3</v>
      </c>
      <c r="AH31" s="31">
        <f t="shared" si="18"/>
        <v>105650</v>
      </c>
    </row>
    <row r="32" spans="1:34" x14ac:dyDescent="0.45">
      <c r="A32" s="20">
        <f t="shared" si="19"/>
        <v>46168</v>
      </c>
      <c r="B32" s="32" t="str">
        <f t="shared" si="7"/>
        <v>火</v>
      </c>
      <c r="C32" s="33">
        <v>1</v>
      </c>
      <c r="D32" s="22">
        <f t="shared" si="0"/>
        <v>29700</v>
      </c>
      <c r="E32" s="34">
        <v>1</v>
      </c>
      <c r="F32" s="24">
        <f t="shared" si="1"/>
        <v>1600</v>
      </c>
      <c r="G32" s="25">
        <f t="shared" si="8"/>
        <v>31300</v>
      </c>
      <c r="H32" s="35">
        <v>6860</v>
      </c>
      <c r="I32" s="25">
        <f t="shared" si="9"/>
        <v>38160</v>
      </c>
      <c r="J32" s="34">
        <v>1</v>
      </c>
      <c r="K32" s="27">
        <f t="shared" si="2"/>
        <v>27720</v>
      </c>
      <c r="L32" s="34">
        <v>0</v>
      </c>
      <c r="M32" s="24">
        <f t="shared" si="44"/>
        <v>0</v>
      </c>
      <c r="N32" s="25">
        <f t="shared" si="10"/>
        <v>27720</v>
      </c>
      <c r="O32" s="36">
        <v>4320</v>
      </c>
      <c r="P32" s="25">
        <f t="shared" si="11"/>
        <v>32040</v>
      </c>
      <c r="Q32" s="34">
        <v>1</v>
      </c>
      <c r="R32" s="27">
        <f t="shared" si="4"/>
        <v>29700</v>
      </c>
      <c r="S32" s="34">
        <v>0</v>
      </c>
      <c r="T32" s="24">
        <f t="shared" si="5"/>
        <v>0</v>
      </c>
      <c r="U32" s="25">
        <f t="shared" si="12"/>
        <v>29700</v>
      </c>
      <c r="V32" s="35">
        <v>1600</v>
      </c>
      <c r="W32" s="25">
        <f t="shared" si="20"/>
        <v>31300</v>
      </c>
      <c r="X32" s="34">
        <v>2</v>
      </c>
      <c r="Y32" s="27">
        <f t="shared" si="13"/>
        <v>51480</v>
      </c>
      <c r="Z32" s="34">
        <v>0</v>
      </c>
      <c r="AA32" s="24">
        <f t="shared" si="14"/>
        <v>0</v>
      </c>
      <c r="AB32" s="25">
        <f t="shared" si="6"/>
        <v>51480</v>
      </c>
      <c r="AC32" s="40">
        <v>2020</v>
      </c>
      <c r="AD32" s="25">
        <f t="shared" si="15"/>
        <v>53500</v>
      </c>
      <c r="AE32" s="29">
        <f t="shared" si="16"/>
        <v>140200</v>
      </c>
      <c r="AF32" s="29">
        <f t="shared" si="17"/>
        <v>14800</v>
      </c>
      <c r="AG32" s="37">
        <f t="shared" si="21"/>
        <v>5</v>
      </c>
      <c r="AH32" s="31">
        <f t="shared" si="18"/>
        <v>155000</v>
      </c>
    </row>
    <row r="33" spans="1:34" x14ac:dyDescent="0.45">
      <c r="A33" s="20">
        <f t="shared" si="19"/>
        <v>46169</v>
      </c>
      <c r="B33" s="32" t="str">
        <f t="shared" si="7"/>
        <v>水</v>
      </c>
      <c r="C33" s="33"/>
      <c r="D33" s="22">
        <f t="shared" si="0"/>
        <v>0</v>
      </c>
      <c r="E33" s="34"/>
      <c r="F33" s="24">
        <f t="shared" si="1"/>
        <v>0</v>
      </c>
      <c r="G33" s="25">
        <f t="shared" si="8"/>
        <v>0</v>
      </c>
      <c r="H33" s="35"/>
      <c r="I33" s="25">
        <f t="shared" si="9"/>
        <v>0</v>
      </c>
      <c r="J33" s="34"/>
      <c r="K33" s="27">
        <f t="shared" si="2"/>
        <v>0</v>
      </c>
      <c r="L33" s="34"/>
      <c r="M33" s="24">
        <f t="shared" si="44"/>
        <v>0</v>
      </c>
      <c r="N33" s="25">
        <f t="shared" si="10"/>
        <v>0</v>
      </c>
      <c r="O33" s="36"/>
      <c r="P33" s="25">
        <f>IF(A33="","",N33+O33)</f>
        <v>0</v>
      </c>
      <c r="Q33" s="34"/>
      <c r="R33" s="27">
        <f t="shared" si="4"/>
        <v>0</v>
      </c>
      <c r="S33" s="34"/>
      <c r="T33" s="24">
        <f t="shared" si="5"/>
        <v>0</v>
      </c>
      <c r="U33" s="25">
        <f t="shared" si="12"/>
        <v>0</v>
      </c>
      <c r="V33" s="35"/>
      <c r="W33" s="25">
        <f t="shared" si="20"/>
        <v>0</v>
      </c>
      <c r="X33" s="34"/>
      <c r="Y33" s="27">
        <f t="shared" si="13"/>
        <v>0</v>
      </c>
      <c r="Z33" s="34"/>
      <c r="AA33" s="24">
        <f t="shared" si="14"/>
        <v>0</v>
      </c>
      <c r="AB33" s="25">
        <f t="shared" si="6"/>
        <v>0</v>
      </c>
      <c r="AC33" s="40"/>
      <c r="AD33" s="25">
        <f t="shared" si="15"/>
        <v>0</v>
      </c>
      <c r="AE33" s="29">
        <f t="shared" si="16"/>
        <v>0</v>
      </c>
      <c r="AF33" s="29">
        <f t="shared" si="17"/>
        <v>0</v>
      </c>
      <c r="AG33" s="37">
        <f t="shared" si="21"/>
        <v>0</v>
      </c>
      <c r="AH33" s="31">
        <f t="shared" si="18"/>
        <v>0</v>
      </c>
    </row>
    <row r="34" spans="1:34" x14ac:dyDescent="0.45">
      <c r="A34" s="20">
        <f t="shared" si="19"/>
        <v>46170</v>
      </c>
      <c r="B34" s="32" t="str">
        <f t="shared" si="7"/>
        <v>木</v>
      </c>
      <c r="C34" s="33">
        <v>1</v>
      </c>
      <c r="D34" s="22">
        <f t="shared" si="0"/>
        <v>29700</v>
      </c>
      <c r="E34" s="34">
        <v>1.5</v>
      </c>
      <c r="F34" s="24">
        <f t="shared" si="1"/>
        <v>2400</v>
      </c>
      <c r="G34" s="25">
        <f t="shared" si="8"/>
        <v>32100</v>
      </c>
      <c r="H34" s="35">
        <v>7750</v>
      </c>
      <c r="I34" s="25">
        <f t="shared" si="9"/>
        <v>39850</v>
      </c>
      <c r="J34" s="34">
        <v>1</v>
      </c>
      <c r="K34" s="27">
        <f t="shared" si="2"/>
        <v>27720</v>
      </c>
      <c r="L34" s="34">
        <v>0</v>
      </c>
      <c r="M34" s="24">
        <f t="shared" si="44"/>
        <v>0</v>
      </c>
      <c r="N34" s="25">
        <f t="shared" si="10"/>
        <v>27720</v>
      </c>
      <c r="O34" s="36">
        <v>3790</v>
      </c>
      <c r="P34" s="25">
        <f t="shared" si="11"/>
        <v>31510</v>
      </c>
      <c r="Q34" s="34">
        <v>1</v>
      </c>
      <c r="R34" s="27">
        <f t="shared" si="4"/>
        <v>29700</v>
      </c>
      <c r="S34" s="34">
        <v>0</v>
      </c>
      <c r="T34" s="24">
        <f t="shared" si="5"/>
        <v>0</v>
      </c>
      <c r="U34" s="25">
        <f t="shared" si="12"/>
        <v>29700</v>
      </c>
      <c r="V34" s="35">
        <v>3620</v>
      </c>
      <c r="W34" s="25">
        <f t="shared" si="20"/>
        <v>33320</v>
      </c>
      <c r="X34" s="34">
        <v>1</v>
      </c>
      <c r="Y34" s="27">
        <f t="shared" si="13"/>
        <v>25740</v>
      </c>
      <c r="Z34" s="34">
        <v>0</v>
      </c>
      <c r="AA34" s="24">
        <f t="shared" si="14"/>
        <v>0</v>
      </c>
      <c r="AB34" s="25">
        <f t="shared" si="6"/>
        <v>25740</v>
      </c>
      <c r="AC34" s="40">
        <v>1610</v>
      </c>
      <c r="AD34" s="25">
        <f t="shared" si="15"/>
        <v>27350</v>
      </c>
      <c r="AE34" s="29">
        <f t="shared" si="16"/>
        <v>115260</v>
      </c>
      <c r="AF34" s="29">
        <f t="shared" si="17"/>
        <v>16770</v>
      </c>
      <c r="AG34" s="37">
        <f t="shared" si="21"/>
        <v>4</v>
      </c>
      <c r="AH34" s="31">
        <f t="shared" si="18"/>
        <v>132030</v>
      </c>
    </row>
    <row r="35" spans="1:34" x14ac:dyDescent="0.45">
      <c r="A35" s="20">
        <f t="shared" si="19"/>
        <v>46171</v>
      </c>
      <c r="B35" s="32" t="str">
        <f t="shared" si="7"/>
        <v>金</v>
      </c>
      <c r="C35" s="33">
        <v>1</v>
      </c>
      <c r="D35" s="22">
        <f t="shared" si="0"/>
        <v>29700</v>
      </c>
      <c r="E35" s="34">
        <v>0</v>
      </c>
      <c r="F35" s="24">
        <f t="shared" si="1"/>
        <v>0</v>
      </c>
      <c r="G35" s="25">
        <f t="shared" si="8"/>
        <v>29700</v>
      </c>
      <c r="H35" s="35">
        <v>7030</v>
      </c>
      <c r="I35" s="25">
        <f t="shared" si="9"/>
        <v>36730</v>
      </c>
      <c r="J35" s="34">
        <v>1</v>
      </c>
      <c r="K35" s="27">
        <f>IF(A35="","",$J$5*J35)</f>
        <v>27720</v>
      </c>
      <c r="L35" s="34">
        <v>0</v>
      </c>
      <c r="M35" s="24">
        <f t="shared" si="44"/>
        <v>0</v>
      </c>
      <c r="N35" s="25">
        <f t="shared" si="10"/>
        <v>27720</v>
      </c>
      <c r="O35" s="36">
        <v>4510</v>
      </c>
      <c r="P35" s="25">
        <f t="shared" si="11"/>
        <v>32230</v>
      </c>
      <c r="Q35" s="34">
        <v>1</v>
      </c>
      <c r="R35" s="27">
        <f t="shared" si="4"/>
        <v>29700</v>
      </c>
      <c r="S35" s="34">
        <v>0</v>
      </c>
      <c r="T35" s="24">
        <f t="shared" si="5"/>
        <v>0</v>
      </c>
      <c r="U35" s="25">
        <f t="shared" si="12"/>
        <v>29700</v>
      </c>
      <c r="V35" s="35">
        <v>1600</v>
      </c>
      <c r="W35" s="25">
        <f t="shared" si="20"/>
        <v>31300</v>
      </c>
      <c r="X35" s="34">
        <v>4</v>
      </c>
      <c r="Y35" s="27">
        <v>108900</v>
      </c>
      <c r="Z35" s="34">
        <v>0</v>
      </c>
      <c r="AA35" s="24">
        <f t="shared" si="14"/>
        <v>0</v>
      </c>
      <c r="AB35" s="25">
        <f t="shared" si="6"/>
        <v>108900</v>
      </c>
      <c r="AC35" s="40">
        <v>4400</v>
      </c>
      <c r="AD35" s="25">
        <f t="shared" si="15"/>
        <v>113300</v>
      </c>
      <c r="AE35" s="29">
        <f t="shared" si="16"/>
        <v>196020</v>
      </c>
      <c r="AF35" s="29">
        <f t="shared" si="17"/>
        <v>17540</v>
      </c>
      <c r="AG35" s="37">
        <f t="shared" si="21"/>
        <v>7</v>
      </c>
      <c r="AH35" s="31">
        <f t="shared" si="18"/>
        <v>213560</v>
      </c>
    </row>
    <row r="36" spans="1:34" x14ac:dyDescent="0.45">
      <c r="A36" s="20">
        <f t="shared" si="19"/>
        <v>46172</v>
      </c>
      <c r="B36" s="32" t="str">
        <f t="shared" si="7"/>
        <v>土</v>
      </c>
      <c r="C36" s="33">
        <v>1</v>
      </c>
      <c r="D36" s="22">
        <f t="shared" si="0"/>
        <v>29700</v>
      </c>
      <c r="E36" s="34">
        <v>1.5</v>
      </c>
      <c r="F36" s="24">
        <f t="shared" si="1"/>
        <v>2400</v>
      </c>
      <c r="G36" s="25">
        <f t="shared" si="8"/>
        <v>32100</v>
      </c>
      <c r="H36" s="35">
        <v>6070</v>
      </c>
      <c r="I36" s="25">
        <f t="shared" si="9"/>
        <v>38170</v>
      </c>
      <c r="J36" s="34">
        <v>1</v>
      </c>
      <c r="K36" s="27">
        <f t="shared" si="2"/>
        <v>27720</v>
      </c>
      <c r="L36" s="34">
        <v>0</v>
      </c>
      <c r="M36" s="24">
        <f t="shared" si="44"/>
        <v>0</v>
      </c>
      <c r="N36" s="25">
        <f t="shared" si="10"/>
        <v>27720</v>
      </c>
      <c r="O36" s="36">
        <v>4230</v>
      </c>
      <c r="P36" s="25">
        <f t="shared" si="11"/>
        <v>31950</v>
      </c>
      <c r="Q36" s="34">
        <v>1</v>
      </c>
      <c r="R36" s="27">
        <f t="shared" si="4"/>
        <v>29700</v>
      </c>
      <c r="S36" s="34">
        <v>0</v>
      </c>
      <c r="T36" s="24">
        <f t="shared" si="5"/>
        <v>0</v>
      </c>
      <c r="U36" s="25">
        <f t="shared" si="12"/>
        <v>29700</v>
      </c>
      <c r="V36" s="35">
        <v>3740</v>
      </c>
      <c r="W36" s="25">
        <f t="shared" si="20"/>
        <v>33440</v>
      </c>
      <c r="X36" s="34"/>
      <c r="Y36" s="27">
        <f t="shared" si="13"/>
        <v>0</v>
      </c>
      <c r="Z36" s="34"/>
      <c r="AA36" s="24">
        <f t="shared" si="14"/>
        <v>0</v>
      </c>
      <c r="AB36" s="25">
        <f t="shared" si="6"/>
        <v>0</v>
      </c>
      <c r="AC36" s="40"/>
      <c r="AD36" s="25">
        <f t="shared" si="15"/>
        <v>0</v>
      </c>
      <c r="AE36" s="29">
        <f t="shared" si="16"/>
        <v>89520</v>
      </c>
      <c r="AF36" s="29">
        <f t="shared" si="17"/>
        <v>14040</v>
      </c>
      <c r="AG36" s="37">
        <f t="shared" si="21"/>
        <v>3</v>
      </c>
      <c r="AH36" s="31">
        <f t="shared" si="18"/>
        <v>103560</v>
      </c>
    </row>
    <row r="37" spans="1:34" ht="18" thickBot="1" x14ac:dyDescent="0.5">
      <c r="A37" s="20">
        <f t="shared" si="19"/>
        <v>46173</v>
      </c>
      <c r="B37" s="32" t="str">
        <f t="shared" si="7"/>
        <v>日</v>
      </c>
      <c r="C37" s="33"/>
      <c r="D37" s="22">
        <f t="shared" si="0"/>
        <v>0</v>
      </c>
      <c r="E37" s="38"/>
      <c r="F37" s="24">
        <f t="shared" si="1"/>
        <v>0</v>
      </c>
      <c r="G37" s="25">
        <f t="shared" si="8"/>
        <v>0</v>
      </c>
      <c r="H37" s="39"/>
      <c r="I37" s="25">
        <f t="shared" si="9"/>
        <v>0</v>
      </c>
      <c r="J37" s="38"/>
      <c r="K37" s="27">
        <f t="shared" si="2"/>
        <v>0</v>
      </c>
      <c r="L37" s="38"/>
      <c r="M37" s="24">
        <f t="shared" si="44"/>
        <v>0</v>
      </c>
      <c r="N37" s="25">
        <f t="shared" si="10"/>
        <v>0</v>
      </c>
      <c r="O37" s="40"/>
      <c r="P37" s="25">
        <f t="shared" si="11"/>
        <v>0</v>
      </c>
      <c r="Q37" s="38"/>
      <c r="R37" s="27">
        <f t="shared" si="4"/>
        <v>0</v>
      </c>
      <c r="S37" s="38"/>
      <c r="T37" s="24">
        <f t="shared" si="5"/>
        <v>0</v>
      </c>
      <c r="U37" s="25">
        <f t="shared" si="12"/>
        <v>0</v>
      </c>
      <c r="V37" s="39"/>
      <c r="W37" s="25">
        <f t="shared" si="20"/>
        <v>0</v>
      </c>
      <c r="X37" s="34"/>
      <c r="Y37" s="27">
        <f t="shared" si="13"/>
        <v>0</v>
      </c>
      <c r="Z37" s="38"/>
      <c r="AA37" s="24">
        <f t="shared" si="14"/>
        <v>0</v>
      </c>
      <c r="AB37" s="24">
        <f t="shared" si="14"/>
        <v>0</v>
      </c>
      <c r="AC37" s="40"/>
      <c r="AD37" s="25">
        <f t="shared" si="15"/>
        <v>0</v>
      </c>
      <c r="AE37" s="29">
        <f t="shared" si="16"/>
        <v>0</v>
      </c>
      <c r="AF37" s="29">
        <f t="shared" si="17"/>
        <v>0</v>
      </c>
      <c r="AG37" s="37">
        <f t="shared" si="21"/>
        <v>0</v>
      </c>
      <c r="AH37" s="31">
        <f t="shared" si="18"/>
        <v>0</v>
      </c>
    </row>
    <row r="38" spans="1:34" ht="36.75" customHeight="1" thickTop="1" x14ac:dyDescent="0.45">
      <c r="A38" s="95" t="s">
        <v>31</v>
      </c>
      <c r="B38" s="96"/>
      <c r="C38" s="41">
        <f t="shared" ref="C38:R38" si="74">SUM(C7:C37)</f>
        <v>24</v>
      </c>
      <c r="D38" s="42">
        <f t="shared" si="74"/>
        <v>712800</v>
      </c>
      <c r="E38" s="43">
        <f t="shared" si="74"/>
        <v>16</v>
      </c>
      <c r="F38" s="44">
        <f t="shared" si="74"/>
        <v>25600</v>
      </c>
      <c r="G38" s="44">
        <f t="shared" si="74"/>
        <v>738400</v>
      </c>
      <c r="H38" s="45">
        <f t="shared" si="74"/>
        <v>168910</v>
      </c>
      <c r="I38" s="45">
        <f t="shared" si="74"/>
        <v>907310</v>
      </c>
      <c r="J38" s="43">
        <f t="shared" si="74"/>
        <v>24</v>
      </c>
      <c r="K38" s="42">
        <f t="shared" si="74"/>
        <v>665280</v>
      </c>
      <c r="L38" s="43">
        <f t="shared" si="74"/>
        <v>1</v>
      </c>
      <c r="M38" s="44">
        <f t="shared" si="74"/>
        <v>1600</v>
      </c>
      <c r="N38" s="44">
        <f t="shared" si="74"/>
        <v>666880</v>
      </c>
      <c r="O38" s="46">
        <f t="shared" si="74"/>
        <v>105140</v>
      </c>
      <c r="P38" s="45">
        <f t="shared" si="74"/>
        <v>772020</v>
      </c>
      <c r="Q38" s="47">
        <f t="shared" si="74"/>
        <v>24</v>
      </c>
      <c r="R38" s="42">
        <f t="shared" si="74"/>
        <v>712800</v>
      </c>
      <c r="S38" s="43">
        <f t="shared" ref="S38:AH38" si="75">SUM(S7:S37)</f>
        <v>3</v>
      </c>
      <c r="T38" s="44">
        <f t="shared" si="75"/>
        <v>4800</v>
      </c>
      <c r="U38" s="44">
        <f t="shared" si="75"/>
        <v>717600</v>
      </c>
      <c r="V38" s="45">
        <f t="shared" si="75"/>
        <v>64850</v>
      </c>
      <c r="W38" s="46">
        <f t="shared" si="75"/>
        <v>782450</v>
      </c>
      <c r="X38" s="47">
        <f t="shared" si="75"/>
        <v>20</v>
      </c>
      <c r="Y38" s="42">
        <f t="shared" si="75"/>
        <v>526680</v>
      </c>
      <c r="Z38" s="43">
        <f t="shared" si="75"/>
        <v>0.5</v>
      </c>
      <c r="AA38" s="44">
        <f t="shared" si="75"/>
        <v>800</v>
      </c>
      <c r="AB38" s="44">
        <f t="shared" si="75"/>
        <v>527480</v>
      </c>
      <c r="AC38" s="46">
        <f t="shared" si="75"/>
        <v>39070</v>
      </c>
      <c r="AD38" s="45">
        <f t="shared" si="75"/>
        <v>566550</v>
      </c>
      <c r="AE38" s="48">
        <f>SUM(AE7:AE36)</f>
        <v>2650360</v>
      </c>
      <c r="AF38" s="48">
        <f>SUM(AF7:AF36)</f>
        <v>377970</v>
      </c>
      <c r="AG38" s="41">
        <f t="shared" si="75"/>
        <v>92</v>
      </c>
      <c r="AH38" s="44">
        <f t="shared" si="75"/>
        <v>3028330</v>
      </c>
    </row>
    <row r="39" spans="1:34" x14ac:dyDescent="0.45">
      <c r="D39" s="5"/>
      <c r="E39" s="2"/>
      <c r="I39" s="5"/>
      <c r="J39" s="2"/>
      <c r="K39" s="2"/>
      <c r="AG39" s="2"/>
      <c r="AH39" s="2"/>
    </row>
    <row r="40" spans="1:34" x14ac:dyDescent="0.45">
      <c r="E40" s="2"/>
      <c r="J40" s="2"/>
      <c r="K40" s="2"/>
      <c r="L40" s="2"/>
      <c r="P40" s="2"/>
      <c r="W40" s="2"/>
      <c r="AD40" s="2"/>
      <c r="AG40" s="2"/>
      <c r="AH40" s="2"/>
    </row>
    <row r="41" spans="1:34" ht="21.6" x14ac:dyDescent="0.45">
      <c r="D41" s="49"/>
      <c r="E41" s="2"/>
      <c r="I41" s="49"/>
      <c r="J41" s="2"/>
      <c r="K41" s="2"/>
      <c r="L41" s="49"/>
      <c r="P41" s="49"/>
      <c r="W41" s="49"/>
      <c r="AD41" s="49"/>
      <c r="AG41" s="2"/>
      <c r="AH41" s="49"/>
    </row>
    <row r="42" spans="1:34" x14ac:dyDescent="0.45">
      <c r="D42" s="5"/>
      <c r="E42" s="2"/>
      <c r="I42" s="5"/>
    </row>
    <row r="43" spans="1:34" x14ac:dyDescent="0.45">
      <c r="D43" s="5"/>
      <c r="E43" s="2"/>
      <c r="I43" s="5"/>
    </row>
    <row r="44" spans="1:34" x14ac:dyDescent="0.45">
      <c r="D44" s="5"/>
      <c r="E44" s="2"/>
      <c r="I44" s="5"/>
    </row>
    <row r="45" spans="1:34" ht="18.75" customHeight="1" x14ac:dyDescent="0.45">
      <c r="C45" s="5"/>
      <c r="D45" s="5"/>
      <c r="F45" s="5"/>
      <c r="G45" s="5"/>
      <c r="H45" s="5"/>
      <c r="I45" s="5"/>
    </row>
    <row r="46" spans="1:34" ht="18.75" customHeight="1" x14ac:dyDescent="0.45">
      <c r="A46" s="50"/>
      <c r="C46" s="5"/>
      <c r="D46" s="5"/>
      <c r="F46" s="5"/>
      <c r="G46" s="5"/>
      <c r="H46" s="5"/>
      <c r="I46" s="5"/>
    </row>
    <row r="47" spans="1:34" ht="18.75" customHeight="1" x14ac:dyDescent="0.45">
      <c r="A47" s="50"/>
      <c r="C47" s="5"/>
      <c r="D47" s="5"/>
      <c r="F47" s="5"/>
      <c r="G47" s="5"/>
      <c r="H47" s="5"/>
      <c r="I47" s="5"/>
    </row>
    <row r="48" spans="1:34" ht="28.8" x14ac:dyDescent="0.45">
      <c r="A48" s="50"/>
      <c r="C48" s="5"/>
      <c r="D48" s="5"/>
      <c r="F48" s="5"/>
      <c r="G48" s="5"/>
      <c r="H48" s="5"/>
      <c r="I48" s="5"/>
    </row>
    <row r="49" spans="1:9" ht="28.8" x14ac:dyDescent="0.45">
      <c r="A49" s="50"/>
      <c r="C49" s="5"/>
      <c r="D49" s="5"/>
      <c r="F49" s="5"/>
      <c r="G49" s="5"/>
      <c r="H49" s="5"/>
      <c r="I49" s="5"/>
    </row>
    <row r="50" spans="1:9" x14ac:dyDescent="0.45">
      <c r="C50" s="5"/>
      <c r="D50" s="5"/>
      <c r="F50" s="5"/>
      <c r="G50" s="5"/>
      <c r="H50" s="5"/>
      <c r="I50" s="5"/>
    </row>
    <row r="51" spans="1:9" x14ac:dyDescent="0.45">
      <c r="A51" s="2"/>
      <c r="B51" s="2"/>
      <c r="C51" s="5"/>
      <c r="D51" s="5"/>
      <c r="F51" s="5"/>
      <c r="G51" s="5"/>
      <c r="H51" s="5"/>
      <c r="I51" s="5"/>
    </row>
    <row r="52" spans="1:9" s="52" customFormat="1" ht="26.4" x14ac:dyDescent="0.45">
      <c r="A52" s="51"/>
      <c r="B52" s="51"/>
    </row>
    <row r="53" spans="1:9" x14ac:dyDescent="0.45">
      <c r="A53" s="2"/>
      <c r="B53" s="2"/>
      <c r="C53" s="5"/>
      <c r="D53" s="5"/>
      <c r="F53" s="5"/>
      <c r="G53" s="5"/>
      <c r="H53" s="5"/>
      <c r="I53" s="5"/>
    </row>
    <row r="54" spans="1:9" s="54" customFormat="1" x14ac:dyDescent="0.45">
      <c r="A54" s="53"/>
      <c r="B54" s="53"/>
    </row>
    <row r="55" spans="1:9" s="54" customFormat="1" x14ac:dyDescent="0.45">
      <c r="A55" s="53"/>
      <c r="B55" s="53"/>
    </row>
    <row r="56" spans="1:9" s="54" customFormat="1" x14ac:dyDescent="0.45">
      <c r="A56" s="53"/>
      <c r="B56" s="53"/>
    </row>
    <row r="57" spans="1:9" s="54" customFormat="1" x14ac:dyDescent="0.45">
      <c r="A57" s="53"/>
      <c r="B57" s="53"/>
    </row>
    <row r="58" spans="1:9" s="54" customFormat="1" x14ac:dyDescent="0.45">
      <c r="A58" s="53"/>
      <c r="B58" s="53"/>
    </row>
    <row r="59" spans="1:9" s="54" customFormat="1" x14ac:dyDescent="0.45">
      <c r="A59" s="53"/>
      <c r="B59" s="53"/>
    </row>
    <row r="60" spans="1:9" s="54" customFormat="1" x14ac:dyDescent="0.45">
      <c r="A60" s="53"/>
      <c r="B60" s="53"/>
    </row>
    <row r="61" spans="1:9" s="54" customFormat="1" x14ac:dyDescent="0.45">
      <c r="A61" s="53"/>
      <c r="B61" s="53"/>
    </row>
    <row r="62" spans="1:9" s="54" customFormat="1" x14ac:dyDescent="0.45">
      <c r="A62" s="53"/>
      <c r="B62" s="53"/>
    </row>
    <row r="63" spans="1:9" s="54" customFormat="1" x14ac:dyDescent="0.45">
      <c r="A63" s="53"/>
      <c r="B63" s="53"/>
    </row>
    <row r="64" spans="1:9" s="54" customFormat="1" x14ac:dyDescent="0.45">
      <c r="A64" s="53"/>
      <c r="B64" s="53"/>
    </row>
    <row r="65" spans="1:2" s="54" customFormat="1" x14ac:dyDescent="0.45">
      <c r="A65" s="53"/>
      <c r="B65" s="53"/>
    </row>
    <row r="66" spans="1:2" s="54" customFormat="1" x14ac:dyDescent="0.45">
      <c r="A66" s="53"/>
      <c r="B66" s="53"/>
    </row>
    <row r="67" spans="1:2" s="54" customFormat="1" x14ac:dyDescent="0.45">
      <c r="A67" s="53"/>
      <c r="B67" s="53"/>
    </row>
    <row r="68" spans="1:2" s="54" customFormat="1" x14ac:dyDescent="0.45">
      <c r="A68" s="53"/>
      <c r="B68" s="53"/>
    </row>
    <row r="69" spans="1:2" s="54" customFormat="1" x14ac:dyDescent="0.45">
      <c r="A69" s="53"/>
      <c r="B69" s="53"/>
    </row>
    <row r="70" spans="1:2" s="54" customFormat="1" x14ac:dyDescent="0.45">
      <c r="A70" s="53"/>
      <c r="B70" s="53"/>
    </row>
    <row r="71" spans="1:2" s="54" customFormat="1" x14ac:dyDescent="0.45">
      <c r="A71" s="53"/>
      <c r="B71" s="53"/>
    </row>
    <row r="72" spans="1:2" s="54" customFormat="1" x14ac:dyDescent="0.45">
      <c r="A72" s="53"/>
      <c r="B72" s="53"/>
    </row>
    <row r="73" spans="1:2" s="54" customFormat="1" x14ac:dyDescent="0.45">
      <c r="A73" s="53"/>
      <c r="B73" s="53"/>
    </row>
    <row r="74" spans="1:2" s="54" customFormat="1" x14ac:dyDescent="0.45">
      <c r="A74" s="53"/>
      <c r="B74" s="53"/>
    </row>
    <row r="75" spans="1:2" s="54" customFormat="1" x14ac:dyDescent="0.45">
      <c r="A75" s="53"/>
      <c r="B75" s="53"/>
    </row>
    <row r="76" spans="1:2" s="54" customFormat="1" x14ac:dyDescent="0.45">
      <c r="A76" s="53"/>
      <c r="B76" s="53"/>
    </row>
    <row r="77" spans="1:2" s="54" customFormat="1" x14ac:dyDescent="0.45">
      <c r="A77" s="53"/>
      <c r="B77" s="53"/>
    </row>
    <row r="78" spans="1:2" s="54" customFormat="1" x14ac:dyDescent="0.45">
      <c r="A78" s="53"/>
      <c r="B78" s="53"/>
    </row>
    <row r="79" spans="1:2" s="54" customFormat="1" x14ac:dyDescent="0.45">
      <c r="A79" s="53"/>
      <c r="B79" s="53"/>
    </row>
    <row r="80" spans="1:2" s="54" customFormat="1" x14ac:dyDescent="0.45">
      <c r="A80" s="53"/>
      <c r="B80" s="53"/>
    </row>
    <row r="81" spans="1:9" s="54" customFormat="1" x14ac:dyDescent="0.45">
      <c r="A81" s="53"/>
      <c r="B81" s="53"/>
    </row>
    <row r="82" spans="1:9" s="54" customFormat="1" x14ac:dyDescent="0.45">
      <c r="A82" s="53"/>
      <c r="B82" s="53"/>
    </row>
    <row r="83" spans="1:9" s="54" customFormat="1" x14ac:dyDescent="0.45">
      <c r="A83" s="53"/>
      <c r="B83" s="53"/>
    </row>
    <row r="84" spans="1:9" s="54" customFormat="1" x14ac:dyDescent="0.45">
      <c r="A84" s="53"/>
      <c r="B84" s="53"/>
    </row>
    <row r="85" spans="1:9" x14ac:dyDescent="0.45">
      <c r="A85" s="55"/>
      <c r="B85" s="55"/>
      <c r="C85" s="5"/>
      <c r="D85" s="5"/>
      <c r="F85" s="5"/>
      <c r="G85" s="5"/>
      <c r="H85" s="5"/>
      <c r="I85" s="5"/>
    </row>
    <row r="86" spans="1:9" x14ac:dyDescent="0.45">
      <c r="C86" s="5"/>
      <c r="D86" s="5"/>
      <c r="F86" s="5"/>
      <c r="G86" s="5"/>
      <c r="H86" s="5"/>
      <c r="I86" s="5"/>
    </row>
    <row r="87" spans="1:9" x14ac:dyDescent="0.45">
      <c r="C87" s="5"/>
      <c r="D87" s="5"/>
      <c r="F87" s="5"/>
      <c r="G87" s="5"/>
      <c r="H87" s="5"/>
      <c r="I87" s="5"/>
    </row>
    <row r="88" spans="1:9" x14ac:dyDescent="0.45">
      <c r="C88" s="5"/>
      <c r="D88" s="5"/>
      <c r="F88" s="5"/>
      <c r="G88" s="5"/>
      <c r="H88" s="5"/>
      <c r="I88" s="5"/>
    </row>
  </sheetData>
  <mergeCells count="37">
    <mergeCell ref="AC5:AC6"/>
    <mergeCell ref="AD5:AD6"/>
    <mergeCell ref="A38:B38"/>
    <mergeCell ref="U5:U6"/>
    <mergeCell ref="V5:V6"/>
    <mergeCell ref="W5:W6"/>
    <mergeCell ref="X5:Y5"/>
    <mergeCell ref="Z5:Z6"/>
    <mergeCell ref="AB5:AB6"/>
    <mergeCell ref="L5:L6"/>
    <mergeCell ref="N5:N6"/>
    <mergeCell ref="O5:O6"/>
    <mergeCell ref="P5:P6"/>
    <mergeCell ref="Q5:R5"/>
    <mergeCell ref="S5:S6"/>
    <mergeCell ref="C5:D5"/>
    <mergeCell ref="X3:AD3"/>
    <mergeCell ref="AE3:AE6"/>
    <mergeCell ref="AF3:AF6"/>
    <mergeCell ref="AG3:AH5"/>
    <mergeCell ref="A4:B4"/>
    <mergeCell ref="C4:I4"/>
    <mergeCell ref="J4:P4"/>
    <mergeCell ref="Q4:W4"/>
    <mergeCell ref="X4:AD4"/>
    <mergeCell ref="A5:B5"/>
    <mergeCell ref="Q3:W3"/>
    <mergeCell ref="E5:E6"/>
    <mergeCell ref="G5:G6"/>
    <mergeCell ref="H5:H6"/>
    <mergeCell ref="I5:I6"/>
    <mergeCell ref="J5:K5"/>
    <mergeCell ref="E1:H1"/>
    <mergeCell ref="E2:H2"/>
    <mergeCell ref="A3:B3"/>
    <mergeCell ref="C3:I3"/>
    <mergeCell ref="J3:P3"/>
  </mergeCells>
  <phoneticPr fontId="3"/>
  <pageMargins left="0.19685039370078741" right="0.19685039370078741" top="0.74803149606299213" bottom="0.74803149606299213" header="0.31496062992125984" footer="0.31496062992125984"/>
  <pageSetup paperSize="8" scale="43" fitToHeight="0" orientation="landscape" r:id="rId1"/>
  <ignoredErrors>
    <ignoredError sqref="G11 G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滋賀_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FAT07</dc:creator>
  <cp:lastModifiedBy>寿 飼鳥</cp:lastModifiedBy>
  <cp:lastPrinted>2023-12-26T22:16:52Z</cp:lastPrinted>
  <dcterms:created xsi:type="dcterms:W3CDTF">2021-05-12T01:59:47Z</dcterms:created>
  <dcterms:modified xsi:type="dcterms:W3CDTF">2026-05-31T22:22:43Z</dcterms:modified>
</cp:coreProperties>
</file>